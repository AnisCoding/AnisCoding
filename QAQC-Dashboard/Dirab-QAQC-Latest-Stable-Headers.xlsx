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nis.ElHalabi\Desktop\"/>
    </mc:Choice>
  </mc:AlternateContent>
  <xr:revisionPtr revIDLastSave="0" documentId="8_{55EB60C5-0333-41A5-A329-5ACBD6F92D2F}" xr6:coauthVersionLast="47" xr6:coauthVersionMax="47" xr10:uidLastSave="{00000000-0000-0000-0000-000000000000}"/>
  <bookViews>
    <workbookView xWindow="30612" yWindow="-108" windowWidth="30936" windowHeight="16776" tabRatio="700" activeTab="1" xr2:uid="{00000000-000D-0000-FFFF-FFFF00000000}"/>
  </bookViews>
  <sheets>
    <sheet name="Dashboard (Final)" sheetId="3" r:id="rId1"/>
    <sheet name="KPI Engine (Final)" sheetId="4" r:id="rId2"/>
    <sheet name="Change Log (Final)" sheetId="5" state="hidden" r:id="rId3"/>
  </sheets>
  <definedNames>
    <definedName name="_xlnm.Print_Area" localSheetId="0">'Dashboard (Final)'!$A$1:$AB$310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9" i="5" l="1"/>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310" i="4"/>
  <c r="R10" i="3" s="1"/>
  <c r="C309" i="4"/>
  <c r="C308" i="4"/>
  <c r="C307" i="4"/>
  <c r="D305" i="4"/>
  <c r="B305" i="4"/>
  <c r="D304" i="4"/>
  <c r="B304" i="4"/>
  <c r="D303" i="4"/>
  <c r="B303" i="4"/>
  <c r="D302" i="4"/>
  <c r="B302" i="4"/>
  <c r="D301" i="4"/>
  <c r="B301" i="4"/>
  <c r="D300" i="4"/>
  <c r="B300" i="4"/>
  <c r="D299" i="4"/>
  <c r="B299" i="4"/>
  <c r="D298" i="4"/>
  <c r="B298" i="4"/>
  <c r="D297" i="4"/>
  <c r="B297" i="4"/>
  <c r="D296" i="4"/>
  <c r="B296" i="4"/>
  <c r="D295" i="4"/>
  <c r="B295" i="4"/>
  <c r="D294" i="4"/>
  <c r="B294" i="4"/>
  <c r="D293" i="4"/>
  <c r="B293" i="4"/>
  <c r="D292" i="4"/>
  <c r="B292" i="4"/>
  <c r="D291" i="4"/>
  <c r="B291" i="4"/>
  <c r="D290" i="4"/>
  <c r="B290" i="4"/>
  <c r="D289" i="4"/>
  <c r="B289" i="4"/>
  <c r="D288" i="4"/>
  <c r="B288" i="4"/>
  <c r="D287" i="4"/>
  <c r="B287" i="4"/>
  <c r="D286" i="4"/>
  <c r="B286" i="4"/>
  <c r="D285" i="4"/>
  <c r="B285" i="4"/>
  <c r="D284" i="4"/>
  <c r="B284" i="4"/>
  <c r="D283" i="4"/>
  <c r="B283" i="4"/>
  <c r="D282" i="4"/>
  <c r="B282" i="4"/>
  <c r="D281" i="4"/>
  <c r="B281" i="4"/>
  <c r="D280" i="4"/>
  <c r="B280" i="4"/>
  <c r="D279" i="4"/>
  <c r="B279" i="4"/>
  <c r="D278" i="4"/>
  <c r="B278" i="4"/>
  <c r="D277" i="4"/>
  <c r="B277" i="4"/>
  <c r="D276" i="4"/>
  <c r="B276" i="4"/>
  <c r="D275" i="4"/>
  <c r="B275" i="4"/>
  <c r="D274" i="4"/>
  <c r="B274" i="4"/>
  <c r="D273" i="4"/>
  <c r="B273" i="4"/>
  <c r="D272" i="4"/>
  <c r="B272" i="4"/>
  <c r="D271" i="4"/>
  <c r="B271" i="4"/>
  <c r="D270" i="4"/>
  <c r="B270" i="4"/>
  <c r="D269" i="4"/>
  <c r="B269" i="4"/>
  <c r="K261" i="4"/>
  <c r="J261" i="4" s="1"/>
  <c r="I261" i="4"/>
  <c r="H261" i="4"/>
  <c r="G261" i="4"/>
  <c r="F261" i="4"/>
  <c r="E261" i="4"/>
  <c r="D261" i="4"/>
  <c r="C261" i="4"/>
  <c r="B261" i="4"/>
  <c r="A261" i="4"/>
  <c r="K260" i="4"/>
  <c r="I260" i="4"/>
  <c r="H260" i="4"/>
  <c r="G260" i="4"/>
  <c r="F260" i="4"/>
  <c r="E260" i="4"/>
  <c r="D260" i="4"/>
  <c r="C260" i="4"/>
  <c r="J260" i="4" s="1"/>
  <c r="B260" i="4"/>
  <c r="A260" i="4"/>
  <c r="K259" i="4"/>
  <c r="J259" i="4" s="1"/>
  <c r="I259" i="4"/>
  <c r="H259" i="4"/>
  <c r="G259" i="4"/>
  <c r="F259" i="4"/>
  <c r="E259" i="4"/>
  <c r="D259" i="4"/>
  <c r="C259" i="4"/>
  <c r="B259" i="4"/>
  <c r="A259" i="4"/>
  <c r="K258" i="4"/>
  <c r="I258" i="4"/>
  <c r="H258" i="4"/>
  <c r="G258" i="4"/>
  <c r="F258" i="4"/>
  <c r="E258" i="4"/>
  <c r="D258" i="4"/>
  <c r="C258" i="4"/>
  <c r="B258" i="4"/>
  <c r="J258" i="4" s="1"/>
  <c r="A258" i="4"/>
  <c r="K257" i="4"/>
  <c r="I257" i="4"/>
  <c r="H257" i="4"/>
  <c r="G257" i="4"/>
  <c r="J257" i="4" s="1"/>
  <c r="F257" i="4"/>
  <c r="E257" i="4"/>
  <c r="D257" i="4"/>
  <c r="C257" i="4"/>
  <c r="B257" i="4"/>
  <c r="A257" i="4"/>
  <c r="K256" i="4"/>
  <c r="J256" i="4" s="1"/>
  <c r="I256" i="4"/>
  <c r="H256" i="4"/>
  <c r="G256" i="4"/>
  <c r="F256" i="4"/>
  <c r="E256" i="4"/>
  <c r="D256" i="4"/>
  <c r="C256" i="4"/>
  <c r="B256" i="4"/>
  <c r="A256" i="4"/>
  <c r="K255" i="4"/>
  <c r="J255" i="4"/>
  <c r="I255" i="4"/>
  <c r="H255" i="4"/>
  <c r="G255" i="4"/>
  <c r="F255" i="4"/>
  <c r="E255" i="4"/>
  <c r="D255" i="4"/>
  <c r="C255" i="4"/>
  <c r="B255" i="4"/>
  <c r="A255" i="4"/>
  <c r="K254" i="4"/>
  <c r="I254" i="4"/>
  <c r="J254" i="4" s="1"/>
  <c r="H254" i="4"/>
  <c r="G254" i="4"/>
  <c r="F254" i="4"/>
  <c r="E254" i="4"/>
  <c r="D254" i="4"/>
  <c r="C254" i="4"/>
  <c r="B254" i="4"/>
  <c r="A254" i="4"/>
  <c r="K253" i="4"/>
  <c r="I253" i="4"/>
  <c r="H253" i="4"/>
  <c r="J253" i="4" s="1"/>
  <c r="G253" i="4"/>
  <c r="F253" i="4"/>
  <c r="E253" i="4"/>
  <c r="D253" i="4"/>
  <c r="C253" i="4"/>
  <c r="B253" i="4"/>
  <c r="A253" i="4"/>
  <c r="K252" i="4"/>
  <c r="J252" i="4" s="1"/>
  <c r="I252" i="4"/>
  <c r="H252" i="4"/>
  <c r="G252" i="4"/>
  <c r="F252" i="4"/>
  <c r="E252" i="4"/>
  <c r="D252" i="4"/>
  <c r="C252" i="4"/>
  <c r="B252" i="4"/>
  <c r="A252" i="4"/>
  <c r="I251" i="4"/>
  <c r="H251" i="4"/>
  <c r="G251" i="4"/>
  <c r="G262" i="4" s="1"/>
  <c r="F251" i="4"/>
  <c r="F262" i="4" s="1"/>
  <c r="E251" i="4"/>
  <c r="D251" i="4"/>
  <c r="C251" i="4"/>
  <c r="B251" i="4"/>
  <c r="I250" i="4"/>
  <c r="G250" i="4"/>
  <c r="F250" i="4"/>
  <c r="E250" i="4"/>
  <c r="D250" i="4"/>
  <c r="C250" i="4"/>
  <c r="B250" i="4"/>
  <c r="I249" i="4"/>
  <c r="G249" i="4"/>
  <c r="F249" i="4"/>
  <c r="E249" i="4"/>
  <c r="D249" i="4"/>
  <c r="C249" i="4"/>
  <c r="B249" i="4"/>
  <c r="I248" i="4"/>
  <c r="I262" i="4" s="1"/>
  <c r="G248" i="4"/>
  <c r="F248" i="4"/>
  <c r="E248" i="4"/>
  <c r="E262" i="4" s="1"/>
  <c r="D248" i="4"/>
  <c r="D262" i="4" s="1"/>
  <c r="C248" i="4"/>
  <c r="C262" i="4" s="1"/>
  <c r="B248" i="4"/>
  <c r="B262" i="4" s="1"/>
  <c r="B244" i="4"/>
  <c r="B243" i="4"/>
  <c r="B242" i="4"/>
  <c r="T286" i="3" s="1"/>
  <c r="B241" i="4"/>
  <c r="D241" i="4" s="1"/>
  <c r="B240" i="4"/>
  <c r="D239" i="4"/>
  <c r="Z267" i="3" s="1"/>
  <c r="C239" i="4"/>
  <c r="B239" i="4"/>
  <c r="C238" i="4"/>
  <c r="B238" i="4"/>
  <c r="D238" i="4" s="1"/>
  <c r="C237" i="4"/>
  <c r="B237" i="4"/>
  <c r="C235" i="4"/>
  <c r="N248" i="3" s="1"/>
  <c r="B235" i="4"/>
  <c r="D235" i="4" s="1"/>
  <c r="C232" i="4"/>
  <c r="C231" i="4"/>
  <c r="B231" i="4"/>
  <c r="D230" i="4"/>
  <c r="Z55" i="3" s="1"/>
  <c r="C230" i="4"/>
  <c r="B230" i="4"/>
  <c r="C229" i="4"/>
  <c r="B229" i="4"/>
  <c r="D229" i="4" s="1"/>
  <c r="C228" i="4"/>
  <c r="B228" i="4"/>
  <c r="F224" i="4"/>
  <c r="D224" i="4"/>
  <c r="F223" i="4"/>
  <c r="D223" i="4"/>
  <c r="F222" i="4"/>
  <c r="D222" i="4"/>
  <c r="F221" i="4"/>
  <c r="D221" i="4"/>
  <c r="F220" i="4"/>
  <c r="D220" i="4"/>
  <c r="F219" i="4"/>
  <c r="D219" i="4"/>
  <c r="F218" i="4"/>
  <c r="D218" i="4"/>
  <c r="F217" i="4"/>
  <c r="D217" i="4"/>
  <c r="F216" i="4"/>
  <c r="D216" i="4"/>
  <c r="F215" i="4"/>
  <c r="D215" i="4"/>
  <c r="F214" i="4"/>
  <c r="D214" i="4"/>
  <c r="F213" i="4"/>
  <c r="D213" i="4"/>
  <c r="F212" i="4"/>
  <c r="D212" i="4"/>
  <c r="F211" i="4"/>
  <c r="D211" i="4"/>
  <c r="F210" i="4"/>
  <c r="D210" i="4"/>
  <c r="F209" i="4"/>
  <c r="D209" i="4"/>
  <c r="F208" i="4"/>
  <c r="D208" i="4"/>
  <c r="E205" i="4"/>
  <c r="D205" i="4"/>
  <c r="C205" i="4"/>
  <c r="B205" i="4"/>
  <c r="B190" i="4"/>
  <c r="B189" i="4"/>
  <c r="B187" i="4"/>
  <c r="B186" i="4"/>
  <c r="B185" i="4"/>
  <c r="B184" i="4"/>
  <c r="B183" i="4"/>
  <c r="G178" i="4"/>
  <c r="H177" i="4"/>
  <c r="G177" i="4"/>
  <c r="F177" i="4"/>
  <c r="E177" i="4"/>
  <c r="D177" i="4"/>
  <c r="C177" i="4"/>
  <c r="L176" i="4"/>
  <c r="K176" i="4"/>
  <c r="J176" i="4"/>
  <c r="I176" i="4"/>
  <c r="G176" i="4"/>
  <c r="F176" i="4"/>
  <c r="F178" i="4" s="1"/>
  <c r="E176" i="4"/>
  <c r="E178" i="4" s="1"/>
  <c r="C176" i="4"/>
  <c r="C178" i="4" s="1"/>
  <c r="H171" i="4"/>
  <c r="C244" i="4" s="1"/>
  <c r="N305" i="3" s="1"/>
  <c r="G171" i="4"/>
  <c r="D48" i="5" s="1"/>
  <c r="E48" i="5" s="1"/>
  <c r="F171" i="4"/>
  <c r="H170" i="4"/>
  <c r="K177" i="4" s="1"/>
  <c r="K178" i="4" s="1"/>
  <c r="G170" i="4"/>
  <c r="X225" i="3" s="1"/>
  <c r="F170" i="4"/>
  <c r="H169" i="4"/>
  <c r="J177" i="4" s="1"/>
  <c r="G169" i="4"/>
  <c r="D46" i="5" s="1"/>
  <c r="E46" i="5" s="1"/>
  <c r="F169" i="4"/>
  <c r="H168" i="4"/>
  <c r="C241" i="4" s="1"/>
  <c r="N286" i="3" s="1"/>
  <c r="G168" i="4"/>
  <c r="D45" i="5" s="1"/>
  <c r="E45" i="5" s="1"/>
  <c r="F168" i="4"/>
  <c r="H167" i="4"/>
  <c r="C240" i="4" s="1"/>
  <c r="E286" i="3" s="1"/>
  <c r="E167" i="4"/>
  <c r="R222" i="3" s="1"/>
  <c r="D167" i="4"/>
  <c r="O222" i="3" s="1"/>
  <c r="C167" i="4"/>
  <c r="H176" i="4" s="1"/>
  <c r="H178" i="4" s="1"/>
  <c r="B167" i="4"/>
  <c r="G166" i="4"/>
  <c r="D43" i="5" s="1"/>
  <c r="E43" i="5" s="1"/>
  <c r="F166" i="4"/>
  <c r="G165" i="4"/>
  <c r="D42" i="5" s="1"/>
  <c r="E42" i="5" s="1"/>
  <c r="F165" i="4"/>
  <c r="G164" i="4"/>
  <c r="D41" i="5" s="1"/>
  <c r="E41" i="5" s="1"/>
  <c r="F164" i="4"/>
  <c r="H163" i="4"/>
  <c r="C236" i="4" s="1"/>
  <c r="W248" i="3" s="1"/>
  <c r="E163" i="4"/>
  <c r="R218" i="3" s="1"/>
  <c r="D163" i="4"/>
  <c r="C163" i="4"/>
  <c r="D176" i="4" s="1"/>
  <c r="D178" i="4" s="1"/>
  <c r="B163" i="4"/>
  <c r="J218" i="3" s="1"/>
  <c r="H162" i="4"/>
  <c r="G162" i="4"/>
  <c r="D39" i="5" s="1"/>
  <c r="E39" i="5" s="1"/>
  <c r="F162" i="4"/>
  <c r="H161" i="4"/>
  <c r="C234" i="4" s="1"/>
  <c r="E248" i="3" s="1"/>
  <c r="E161" i="4"/>
  <c r="E172" i="4" s="1"/>
  <c r="R227" i="3" s="1"/>
  <c r="D161" i="4"/>
  <c r="D172" i="4" s="1"/>
  <c r="C161" i="4"/>
  <c r="C172" i="4" s="1"/>
  <c r="L227" i="3" s="1"/>
  <c r="B161" i="4"/>
  <c r="B152" i="4"/>
  <c r="D37" i="5" s="1"/>
  <c r="E37" i="5" s="1"/>
  <c r="B151" i="4"/>
  <c r="B150" i="4"/>
  <c r="B143" i="4"/>
  <c r="B142" i="4"/>
  <c r="F129" i="4"/>
  <c r="F128" i="4"/>
  <c r="F127" i="4"/>
  <c r="F126" i="4"/>
  <c r="F125" i="4"/>
  <c r="F124" i="4"/>
  <c r="F123" i="4"/>
  <c r="F122" i="4"/>
  <c r="F121" i="4"/>
  <c r="F120" i="4"/>
  <c r="B101" i="4"/>
  <c r="B98" i="4"/>
  <c r="J93" i="4"/>
  <c r="B105" i="4" s="1"/>
  <c r="H93" i="4"/>
  <c r="B103" i="4" s="1"/>
  <c r="G93" i="4"/>
  <c r="B102" i="4" s="1"/>
  <c r="F93" i="4"/>
  <c r="E93" i="4"/>
  <c r="B100" i="4" s="1"/>
  <c r="D93" i="4"/>
  <c r="B99" i="4" s="1"/>
  <c r="C93" i="4"/>
  <c r="K92" i="4"/>
  <c r="J92" i="4"/>
  <c r="I92" i="4"/>
  <c r="B92" i="4"/>
  <c r="J196" i="3" s="1"/>
  <c r="K91" i="4"/>
  <c r="J91" i="4"/>
  <c r="I91" i="4"/>
  <c r="X195" i="3" s="1"/>
  <c r="B91" i="4"/>
  <c r="K90" i="4"/>
  <c r="J90" i="4"/>
  <c r="I90" i="4"/>
  <c r="B90" i="4"/>
  <c r="K89" i="4"/>
  <c r="J89" i="4"/>
  <c r="Z193" i="3" s="1"/>
  <c r="I89" i="4"/>
  <c r="X193" i="3" s="1"/>
  <c r="B89" i="4"/>
  <c r="K88" i="4"/>
  <c r="J88" i="4"/>
  <c r="I88" i="4"/>
  <c r="B88" i="4"/>
  <c r="K87" i="4"/>
  <c r="I87" i="4"/>
  <c r="B87" i="4"/>
  <c r="K86" i="4"/>
  <c r="AB190" i="3" s="1"/>
  <c r="J86" i="4"/>
  <c r="I86" i="4"/>
  <c r="B86" i="4"/>
  <c r="J190" i="3" s="1"/>
  <c r="K85" i="4"/>
  <c r="AB189" i="3" s="1"/>
  <c r="J85" i="4"/>
  <c r="I85" i="4"/>
  <c r="X189" i="3" s="1"/>
  <c r="B85" i="4"/>
  <c r="J189" i="3" s="1"/>
  <c r="K84" i="4"/>
  <c r="J84" i="4"/>
  <c r="Z188" i="3" s="1"/>
  <c r="I84" i="4"/>
  <c r="B84" i="4"/>
  <c r="K83" i="4"/>
  <c r="J83" i="4"/>
  <c r="I83" i="4"/>
  <c r="B83" i="4"/>
  <c r="K72" i="4"/>
  <c r="AB176" i="3" s="1"/>
  <c r="I72" i="4"/>
  <c r="B72" i="4"/>
  <c r="A251" i="4" s="1"/>
  <c r="K71" i="4"/>
  <c r="B196" i="4" s="1"/>
  <c r="I71" i="4"/>
  <c r="H250" i="4" s="1"/>
  <c r="B71" i="4"/>
  <c r="K250" i="4" s="1"/>
  <c r="J250" i="4" s="1"/>
  <c r="K70" i="4"/>
  <c r="I70" i="4"/>
  <c r="H249" i="4" s="1"/>
  <c r="B70" i="4"/>
  <c r="K249" i="4" s="1"/>
  <c r="J249" i="4" s="1"/>
  <c r="K69" i="4"/>
  <c r="I69" i="4"/>
  <c r="H248" i="4" s="1"/>
  <c r="H262" i="4" s="1"/>
  <c r="B69" i="4"/>
  <c r="B93" i="4" s="1"/>
  <c r="H64" i="4"/>
  <c r="H63" i="4"/>
  <c r="H62" i="4"/>
  <c r="H61" i="4"/>
  <c r="H60" i="4"/>
  <c r="H59" i="4"/>
  <c r="H58" i="4"/>
  <c r="H57" i="4"/>
  <c r="H56" i="4"/>
  <c r="H55" i="4"/>
  <c r="H54" i="4"/>
  <c r="G48" i="4"/>
  <c r="E48" i="4"/>
  <c r="D48" i="4"/>
  <c r="C48" i="4"/>
  <c r="B48" i="4"/>
  <c r="G47" i="4"/>
  <c r="G49" i="4" s="1"/>
  <c r="F47" i="4"/>
  <c r="F49" i="4" s="1"/>
  <c r="E47" i="4"/>
  <c r="E49" i="4" s="1"/>
  <c r="D47" i="4"/>
  <c r="D49" i="4" s="1"/>
  <c r="C47" i="4"/>
  <c r="C49" i="4" s="1"/>
  <c r="B47" i="4"/>
  <c r="B49" i="4" s="1"/>
  <c r="G42" i="4"/>
  <c r="G41" i="4"/>
  <c r="F41" i="4"/>
  <c r="E41" i="4"/>
  <c r="D41" i="4"/>
  <c r="H41" i="4" s="1"/>
  <c r="D34" i="5" s="1"/>
  <c r="E34" i="5" s="1"/>
  <c r="C41" i="4"/>
  <c r="B41" i="4"/>
  <c r="G40" i="4"/>
  <c r="F40" i="4"/>
  <c r="E40" i="4"/>
  <c r="D40" i="4"/>
  <c r="H40" i="4" s="1"/>
  <c r="D33" i="5" s="1"/>
  <c r="E33" i="5" s="1"/>
  <c r="C40" i="4"/>
  <c r="B40" i="4"/>
  <c r="G39" i="4"/>
  <c r="F39" i="4"/>
  <c r="E39" i="4"/>
  <c r="E42" i="4" s="1"/>
  <c r="D39" i="4"/>
  <c r="H39" i="4" s="1"/>
  <c r="D32" i="5" s="1"/>
  <c r="E32" i="5" s="1"/>
  <c r="C39" i="4"/>
  <c r="B39" i="4"/>
  <c r="B42" i="4" s="1"/>
  <c r="H38" i="4"/>
  <c r="D31" i="5" s="1"/>
  <c r="E31" i="5" s="1"/>
  <c r="G38" i="4"/>
  <c r="F38" i="4"/>
  <c r="E38" i="4"/>
  <c r="D38" i="4"/>
  <c r="C38" i="4"/>
  <c r="B38" i="4"/>
  <c r="G37" i="4"/>
  <c r="F37" i="4"/>
  <c r="F42" i="4" s="1"/>
  <c r="E37" i="4"/>
  <c r="D37" i="4"/>
  <c r="H37" i="4" s="1"/>
  <c r="D30" i="5" s="1"/>
  <c r="E30" i="5" s="1"/>
  <c r="C37" i="4"/>
  <c r="C42" i="4" s="1"/>
  <c r="B37" i="4"/>
  <c r="G32" i="4"/>
  <c r="F32" i="4"/>
  <c r="T87" i="3" s="1"/>
  <c r="E32" i="4"/>
  <c r="D32" i="4"/>
  <c r="I31" i="4"/>
  <c r="H31" i="4"/>
  <c r="C31" i="4"/>
  <c r="B31" i="4"/>
  <c r="I30" i="4"/>
  <c r="H30" i="4"/>
  <c r="C30" i="4"/>
  <c r="B30" i="4"/>
  <c r="I29" i="4"/>
  <c r="H29" i="4"/>
  <c r="C29" i="4"/>
  <c r="C32" i="4" s="1"/>
  <c r="L87" i="3" s="1"/>
  <c r="B29" i="4"/>
  <c r="J84" i="3" s="1"/>
  <c r="I28" i="4"/>
  <c r="H28" i="4"/>
  <c r="C28" i="4"/>
  <c r="B28" i="4"/>
  <c r="I27" i="4"/>
  <c r="I32" i="4" s="1"/>
  <c r="AB87" i="3" s="1"/>
  <c r="H27" i="4"/>
  <c r="H32" i="4" s="1"/>
  <c r="Z87" i="3" s="1"/>
  <c r="C27" i="4"/>
  <c r="B194" i="4" s="1"/>
  <c r="B27" i="4"/>
  <c r="J22" i="4"/>
  <c r="B149" i="4" s="1"/>
  <c r="H22" i="4"/>
  <c r="T38" i="3" s="1"/>
  <c r="J21" i="4"/>
  <c r="I21" i="4"/>
  <c r="H21" i="4"/>
  <c r="F21" i="4"/>
  <c r="F22" i="4" s="1"/>
  <c r="R38" i="3" s="1"/>
  <c r="E21" i="4"/>
  <c r="E22" i="4" s="1"/>
  <c r="P38" i="3" s="1"/>
  <c r="D21" i="4"/>
  <c r="C21" i="4"/>
  <c r="C22" i="4" s="1"/>
  <c r="J38" i="3" s="1"/>
  <c r="J20" i="4"/>
  <c r="H20" i="4"/>
  <c r="F20" i="4"/>
  <c r="E20" i="4"/>
  <c r="C233" i="4" s="1"/>
  <c r="W74" i="3" s="1"/>
  <c r="D20" i="4"/>
  <c r="M37" i="3" s="1"/>
  <c r="C20" i="4"/>
  <c r="J37" i="3" s="1"/>
  <c r="J19" i="4"/>
  <c r="I19" i="4"/>
  <c r="H19" i="4"/>
  <c r="F19" i="4"/>
  <c r="R36" i="3" s="1"/>
  <c r="E19" i="4"/>
  <c r="F48" i="4" s="1"/>
  <c r="D19" i="4"/>
  <c r="B232" i="4" s="1"/>
  <c r="C19" i="4"/>
  <c r="I18" i="4"/>
  <c r="G18" i="4"/>
  <c r="K18" i="4" s="1"/>
  <c r="D25" i="5" s="1"/>
  <c r="E25" i="5" s="1"/>
  <c r="K17" i="4"/>
  <c r="D24" i="5" s="1"/>
  <c r="E24" i="5" s="1"/>
  <c r="I17" i="4"/>
  <c r="G17" i="4"/>
  <c r="K16" i="4"/>
  <c r="D23" i="5" s="1"/>
  <c r="E23" i="5" s="1"/>
  <c r="I16" i="4"/>
  <c r="G16" i="4"/>
  <c r="I15" i="4"/>
  <c r="G15" i="4"/>
  <c r="K15" i="4" s="1"/>
  <c r="D22" i="5" s="1"/>
  <c r="E22" i="5" s="1"/>
  <c r="I14" i="4"/>
  <c r="I20" i="4" s="1"/>
  <c r="G14" i="4"/>
  <c r="G20" i="4" s="1"/>
  <c r="K20" i="4" s="1"/>
  <c r="K13" i="4"/>
  <c r="D20" i="5" s="1"/>
  <c r="E20" i="5" s="1"/>
  <c r="G13" i="4"/>
  <c r="K12" i="4"/>
  <c r="D19" i="5" s="1"/>
  <c r="E19" i="5" s="1"/>
  <c r="G12" i="4"/>
  <c r="G11" i="4"/>
  <c r="K11" i="4" s="1"/>
  <c r="D18" i="5" s="1"/>
  <c r="E18" i="5" s="1"/>
  <c r="G10" i="4"/>
  <c r="K10" i="4" s="1"/>
  <c r="D17" i="5" s="1"/>
  <c r="E17" i="5" s="1"/>
  <c r="K9" i="4"/>
  <c r="D16" i="5" s="1"/>
  <c r="E16" i="5" s="1"/>
  <c r="G9" i="4"/>
  <c r="G8" i="4"/>
  <c r="B193" i="4" s="1"/>
  <c r="K7" i="4"/>
  <c r="AB34" i="3" s="1"/>
  <c r="G7" i="4"/>
  <c r="B192" i="4" s="1"/>
  <c r="K6" i="4"/>
  <c r="D13" i="5" s="1"/>
  <c r="E13" i="5" s="1"/>
  <c r="G6" i="4"/>
  <c r="B191" i="4" s="1"/>
  <c r="G5" i="4"/>
  <c r="K5" i="4" s="1"/>
  <c r="K307" i="3"/>
  <c r="B307" i="3"/>
  <c r="K305" i="3"/>
  <c r="T288" i="3"/>
  <c r="K288" i="3"/>
  <c r="B288" i="3"/>
  <c r="K286" i="3"/>
  <c r="B286" i="3"/>
  <c r="T269" i="3"/>
  <c r="K269" i="3"/>
  <c r="B269" i="3"/>
  <c r="W267" i="3"/>
  <c r="T267" i="3"/>
  <c r="N267" i="3"/>
  <c r="K267" i="3"/>
  <c r="E267" i="3"/>
  <c r="T250" i="3"/>
  <c r="K250" i="3"/>
  <c r="B250" i="3"/>
  <c r="K248" i="3"/>
  <c r="X226" i="3"/>
  <c r="U226" i="3"/>
  <c r="R226" i="3"/>
  <c r="O226" i="3"/>
  <c r="L226" i="3"/>
  <c r="J226" i="3"/>
  <c r="U225" i="3"/>
  <c r="R225" i="3"/>
  <c r="O225" i="3"/>
  <c r="L225" i="3"/>
  <c r="J225" i="3"/>
  <c r="U224" i="3"/>
  <c r="R224" i="3"/>
  <c r="O224" i="3"/>
  <c r="L224" i="3"/>
  <c r="J224" i="3"/>
  <c r="X223" i="3"/>
  <c r="U223" i="3"/>
  <c r="R223" i="3"/>
  <c r="O223" i="3"/>
  <c r="L223" i="3"/>
  <c r="J223" i="3"/>
  <c r="L222" i="3"/>
  <c r="X221" i="3"/>
  <c r="U221" i="3"/>
  <c r="R221" i="3"/>
  <c r="O221" i="3"/>
  <c r="L221" i="3"/>
  <c r="J221" i="3"/>
  <c r="U220" i="3"/>
  <c r="R220" i="3"/>
  <c r="O220" i="3"/>
  <c r="L220" i="3"/>
  <c r="J220" i="3"/>
  <c r="X219" i="3"/>
  <c r="U219" i="3"/>
  <c r="R219" i="3"/>
  <c r="O219" i="3"/>
  <c r="L219" i="3"/>
  <c r="J219" i="3"/>
  <c r="O218" i="3"/>
  <c r="L218" i="3"/>
  <c r="X217" i="3"/>
  <c r="U217" i="3"/>
  <c r="R217" i="3"/>
  <c r="O217" i="3"/>
  <c r="L217" i="3"/>
  <c r="J217" i="3"/>
  <c r="J216" i="3"/>
  <c r="G204" i="3"/>
  <c r="Z197" i="3"/>
  <c r="V197" i="3"/>
  <c r="T197" i="3"/>
  <c r="R197" i="3"/>
  <c r="P197" i="3"/>
  <c r="N197" i="3"/>
  <c r="L197" i="3"/>
  <c r="AB196" i="3"/>
  <c r="Z196" i="3"/>
  <c r="X196" i="3"/>
  <c r="V196" i="3"/>
  <c r="T196" i="3"/>
  <c r="R196" i="3"/>
  <c r="P196" i="3"/>
  <c r="N196" i="3"/>
  <c r="L196" i="3"/>
  <c r="AB195" i="3"/>
  <c r="Z195" i="3"/>
  <c r="V195" i="3"/>
  <c r="T195" i="3"/>
  <c r="R195" i="3"/>
  <c r="P195" i="3"/>
  <c r="N195" i="3"/>
  <c r="L195" i="3"/>
  <c r="J195" i="3"/>
  <c r="AB194" i="3"/>
  <c r="Z194" i="3"/>
  <c r="X194" i="3"/>
  <c r="V194" i="3"/>
  <c r="T194" i="3"/>
  <c r="R194" i="3"/>
  <c r="P194" i="3"/>
  <c r="N194" i="3"/>
  <c r="L194" i="3"/>
  <c r="J194" i="3"/>
  <c r="AB193" i="3"/>
  <c r="V193" i="3"/>
  <c r="T193" i="3"/>
  <c r="R193" i="3"/>
  <c r="P193" i="3"/>
  <c r="N193" i="3"/>
  <c r="L193" i="3"/>
  <c r="J193" i="3"/>
  <c r="AB192" i="3"/>
  <c r="Z192" i="3"/>
  <c r="X192" i="3"/>
  <c r="V192" i="3"/>
  <c r="T192" i="3"/>
  <c r="R192" i="3"/>
  <c r="P192" i="3"/>
  <c r="N192" i="3"/>
  <c r="L192" i="3"/>
  <c r="J192" i="3"/>
  <c r="AB191" i="3"/>
  <c r="Z191" i="3"/>
  <c r="X191" i="3"/>
  <c r="V191" i="3"/>
  <c r="T191" i="3"/>
  <c r="R191" i="3"/>
  <c r="P191" i="3"/>
  <c r="N191" i="3"/>
  <c r="L191" i="3"/>
  <c r="J191" i="3"/>
  <c r="Z190" i="3"/>
  <c r="X190" i="3"/>
  <c r="V190" i="3"/>
  <c r="T190" i="3"/>
  <c r="R190" i="3"/>
  <c r="P190" i="3"/>
  <c r="N190" i="3"/>
  <c r="L190" i="3"/>
  <c r="Z189" i="3"/>
  <c r="V189" i="3"/>
  <c r="T189" i="3"/>
  <c r="R189" i="3"/>
  <c r="P189" i="3"/>
  <c r="N189" i="3"/>
  <c r="L189" i="3"/>
  <c r="AB188" i="3"/>
  <c r="X188" i="3"/>
  <c r="V188" i="3"/>
  <c r="T188" i="3"/>
  <c r="R188" i="3"/>
  <c r="P188" i="3"/>
  <c r="N188" i="3"/>
  <c r="L188" i="3"/>
  <c r="J188" i="3"/>
  <c r="AB187" i="3"/>
  <c r="Z187" i="3"/>
  <c r="X187" i="3"/>
  <c r="V187" i="3"/>
  <c r="T187" i="3"/>
  <c r="R187" i="3"/>
  <c r="P187" i="3"/>
  <c r="N187" i="3"/>
  <c r="L187" i="3"/>
  <c r="J187" i="3"/>
  <c r="AB186" i="3"/>
  <c r="Z186" i="3"/>
  <c r="X186" i="3"/>
  <c r="V186" i="3"/>
  <c r="T186" i="3"/>
  <c r="R186" i="3"/>
  <c r="P186" i="3"/>
  <c r="N186" i="3"/>
  <c r="L186" i="3"/>
  <c r="J186" i="3"/>
  <c r="AB185" i="3"/>
  <c r="Z185" i="3"/>
  <c r="X185" i="3"/>
  <c r="V185" i="3"/>
  <c r="T185" i="3"/>
  <c r="R185" i="3"/>
  <c r="P185" i="3"/>
  <c r="N185" i="3"/>
  <c r="L185" i="3"/>
  <c r="J185" i="3"/>
  <c r="AB184" i="3"/>
  <c r="Z184" i="3"/>
  <c r="X184" i="3"/>
  <c r="V184" i="3"/>
  <c r="T184" i="3"/>
  <c r="R184" i="3"/>
  <c r="P184" i="3"/>
  <c r="N184" i="3"/>
  <c r="L184" i="3"/>
  <c r="J184" i="3"/>
  <c r="AB183" i="3"/>
  <c r="Z183" i="3"/>
  <c r="X183" i="3"/>
  <c r="V183" i="3"/>
  <c r="T183" i="3"/>
  <c r="R183" i="3"/>
  <c r="P183" i="3"/>
  <c r="N183" i="3"/>
  <c r="L183" i="3"/>
  <c r="J183" i="3"/>
  <c r="AB182" i="3"/>
  <c r="Z182" i="3"/>
  <c r="X182" i="3"/>
  <c r="V182" i="3"/>
  <c r="T182" i="3"/>
  <c r="R182" i="3"/>
  <c r="P182" i="3"/>
  <c r="N182" i="3"/>
  <c r="L182" i="3"/>
  <c r="J182" i="3"/>
  <c r="AB181" i="3"/>
  <c r="Z181" i="3"/>
  <c r="X181" i="3"/>
  <c r="V181" i="3"/>
  <c r="T181" i="3"/>
  <c r="R181" i="3"/>
  <c r="P181" i="3"/>
  <c r="N181" i="3"/>
  <c r="L181" i="3"/>
  <c r="J181" i="3"/>
  <c r="AB180" i="3"/>
  <c r="Z180" i="3"/>
  <c r="X180" i="3"/>
  <c r="V180" i="3"/>
  <c r="T180" i="3"/>
  <c r="R180" i="3"/>
  <c r="P180" i="3"/>
  <c r="N180" i="3"/>
  <c r="L180" i="3"/>
  <c r="J180" i="3"/>
  <c r="AB179" i="3"/>
  <c r="Z179" i="3"/>
  <c r="X179" i="3"/>
  <c r="V179" i="3"/>
  <c r="T179" i="3"/>
  <c r="R179" i="3"/>
  <c r="P179" i="3"/>
  <c r="N179" i="3"/>
  <c r="L179" i="3"/>
  <c r="J179" i="3"/>
  <c r="AB178" i="3"/>
  <c r="Z178" i="3"/>
  <c r="X178" i="3"/>
  <c r="V178" i="3"/>
  <c r="T178" i="3"/>
  <c r="R178" i="3"/>
  <c r="P178" i="3"/>
  <c r="N178" i="3"/>
  <c r="L178" i="3"/>
  <c r="J178" i="3"/>
  <c r="AB177" i="3"/>
  <c r="Z177" i="3"/>
  <c r="X177" i="3"/>
  <c r="V177" i="3"/>
  <c r="T177" i="3"/>
  <c r="R177" i="3"/>
  <c r="P177" i="3"/>
  <c r="N177" i="3"/>
  <c r="L177" i="3"/>
  <c r="J177" i="3"/>
  <c r="Z176" i="3"/>
  <c r="X176" i="3"/>
  <c r="V176" i="3"/>
  <c r="T176" i="3"/>
  <c r="R176" i="3"/>
  <c r="P176" i="3"/>
  <c r="N176" i="3"/>
  <c r="L176" i="3"/>
  <c r="J176" i="3"/>
  <c r="AB175" i="3"/>
  <c r="Z175" i="3"/>
  <c r="X175" i="3"/>
  <c r="V175" i="3"/>
  <c r="T175" i="3"/>
  <c r="R175" i="3"/>
  <c r="P175" i="3"/>
  <c r="N175" i="3"/>
  <c r="L175" i="3"/>
  <c r="J175" i="3"/>
  <c r="AB174" i="3"/>
  <c r="Z174" i="3"/>
  <c r="X174" i="3"/>
  <c r="V174" i="3"/>
  <c r="T174" i="3"/>
  <c r="R174" i="3"/>
  <c r="P174" i="3"/>
  <c r="N174" i="3"/>
  <c r="L174" i="3"/>
  <c r="J174" i="3"/>
  <c r="AB173" i="3"/>
  <c r="Z173" i="3"/>
  <c r="V173" i="3"/>
  <c r="T173" i="3"/>
  <c r="R173" i="3"/>
  <c r="P173" i="3"/>
  <c r="N173" i="3"/>
  <c r="L173" i="3"/>
  <c r="W87" i="3"/>
  <c r="Q87" i="3"/>
  <c r="N87" i="3"/>
  <c r="AB86" i="3"/>
  <c r="Z86" i="3"/>
  <c r="W86" i="3"/>
  <c r="T86" i="3"/>
  <c r="Q86" i="3"/>
  <c r="N86" i="3"/>
  <c r="L86" i="3"/>
  <c r="J86" i="3"/>
  <c r="AB85" i="3"/>
  <c r="Z85" i="3"/>
  <c r="W85" i="3"/>
  <c r="T85" i="3"/>
  <c r="Q85" i="3"/>
  <c r="N85" i="3"/>
  <c r="L85" i="3"/>
  <c r="J85" i="3"/>
  <c r="AB84" i="3"/>
  <c r="Z84" i="3"/>
  <c r="W84" i="3"/>
  <c r="T84" i="3"/>
  <c r="Q84" i="3"/>
  <c r="N84" i="3"/>
  <c r="AB83" i="3"/>
  <c r="Z83" i="3"/>
  <c r="W83" i="3"/>
  <c r="T83" i="3"/>
  <c r="Q83" i="3"/>
  <c r="N83" i="3"/>
  <c r="L83" i="3"/>
  <c r="J83" i="3"/>
  <c r="AB82" i="3"/>
  <c r="Z82" i="3"/>
  <c r="W82" i="3"/>
  <c r="T82" i="3"/>
  <c r="Q82" i="3"/>
  <c r="N82" i="3"/>
  <c r="L82" i="3"/>
  <c r="J82" i="3"/>
  <c r="T76" i="3"/>
  <c r="K76" i="3"/>
  <c r="B76" i="3"/>
  <c r="N74" i="3"/>
  <c r="E74" i="3"/>
  <c r="B74" i="3"/>
  <c r="T57" i="3"/>
  <c r="K57" i="3"/>
  <c r="B57" i="3"/>
  <c r="W55" i="3"/>
  <c r="T55" i="3"/>
  <c r="N55" i="3"/>
  <c r="K55" i="3"/>
  <c r="E55" i="3"/>
  <c r="B55" i="3"/>
  <c r="Z38" i="3"/>
  <c r="Z37" i="3"/>
  <c r="T37" i="3"/>
  <c r="R37" i="3"/>
  <c r="P37" i="3"/>
  <c r="H37" i="3"/>
  <c r="Z36" i="3"/>
  <c r="W36" i="3"/>
  <c r="T36" i="3"/>
  <c r="P36" i="3"/>
  <c r="M36" i="3"/>
  <c r="J36" i="3"/>
  <c r="H36" i="3"/>
  <c r="Z35" i="3"/>
  <c r="W35" i="3"/>
  <c r="T35" i="3"/>
  <c r="R35" i="3"/>
  <c r="P35" i="3"/>
  <c r="M35" i="3"/>
  <c r="J35" i="3"/>
  <c r="H35" i="3"/>
  <c r="Z34" i="3"/>
  <c r="W34" i="3"/>
  <c r="T34" i="3"/>
  <c r="R34" i="3"/>
  <c r="P34" i="3"/>
  <c r="M34" i="3"/>
  <c r="J34" i="3"/>
  <c r="H34" i="3"/>
  <c r="AB33" i="3"/>
  <c r="Z33" i="3"/>
  <c r="W33" i="3"/>
  <c r="T33" i="3"/>
  <c r="R33" i="3"/>
  <c r="P33" i="3"/>
  <c r="M33" i="3"/>
  <c r="J33" i="3"/>
  <c r="H33" i="3"/>
  <c r="Z32" i="3"/>
  <c r="W32" i="3"/>
  <c r="T32" i="3"/>
  <c r="R32" i="3"/>
  <c r="P32" i="3"/>
  <c r="M32" i="3"/>
  <c r="J32" i="3"/>
  <c r="H32" i="3"/>
  <c r="R29" i="3"/>
  <c r="X5" i="3"/>
  <c r="O227" i="3" l="1"/>
  <c r="G172" i="4"/>
  <c r="E240" i="4"/>
  <c r="Q286" i="3"/>
  <c r="K274" i="3"/>
  <c r="E241" i="4"/>
  <c r="Q248" i="3"/>
  <c r="K236" i="3"/>
  <c r="E235" i="4"/>
  <c r="D244" i="4"/>
  <c r="D12" i="5"/>
  <c r="E12" i="5" s="1"/>
  <c r="AB32" i="3"/>
  <c r="B146" i="4"/>
  <c r="J197" i="3"/>
  <c r="B141" i="4"/>
  <c r="Q55" i="3"/>
  <c r="K43" i="3"/>
  <c r="E229" i="4"/>
  <c r="Q267" i="3"/>
  <c r="K255" i="3"/>
  <c r="E238" i="4"/>
  <c r="AB37" i="3"/>
  <c r="D27" i="5"/>
  <c r="E27" i="5" s="1"/>
  <c r="I22" i="4"/>
  <c r="W38" i="3" s="1"/>
  <c r="W37" i="3"/>
  <c r="K74" i="3"/>
  <c r="E232" i="4"/>
  <c r="D232" i="4"/>
  <c r="Q74" i="3" s="1"/>
  <c r="J178" i="4"/>
  <c r="F163" i="4"/>
  <c r="U218" i="3" s="1"/>
  <c r="E230" i="4"/>
  <c r="E239" i="4"/>
  <c r="L84" i="3"/>
  <c r="X220" i="3"/>
  <c r="X224" i="3"/>
  <c r="B267" i="3"/>
  <c r="G19" i="4"/>
  <c r="K19" i="4" s="1"/>
  <c r="D22" i="4"/>
  <c r="M38" i="3" s="1"/>
  <c r="B177" i="4"/>
  <c r="K248" i="4"/>
  <c r="A250" i="4"/>
  <c r="D14" i="5"/>
  <c r="E14" i="5" s="1"/>
  <c r="D42" i="4"/>
  <c r="H42" i="4" s="1"/>
  <c r="D35" i="5" s="1"/>
  <c r="E35" i="5" s="1"/>
  <c r="B176" i="4"/>
  <c r="B178" i="4" s="1"/>
  <c r="A249" i="4"/>
  <c r="H172" i="4"/>
  <c r="B233" i="4"/>
  <c r="B236" i="4"/>
  <c r="A248" i="4"/>
  <c r="X173" i="3"/>
  <c r="B255" i="3"/>
  <c r="B305" i="3"/>
  <c r="I93" i="4"/>
  <c r="B188" i="4"/>
  <c r="C242" i="4"/>
  <c r="D47" i="5"/>
  <c r="E47" i="5" s="1"/>
  <c r="K8" i="4"/>
  <c r="G21" i="4"/>
  <c r="B144" i="4"/>
  <c r="G163" i="4"/>
  <c r="F167" i="4"/>
  <c r="U222" i="3" s="1"/>
  <c r="B234" i="4"/>
  <c r="J222" i="3"/>
  <c r="T255" i="3"/>
  <c r="K14" i="4"/>
  <c r="D21" i="5" s="1"/>
  <c r="E21" i="5" s="1"/>
  <c r="F161" i="4"/>
  <c r="G167" i="4"/>
  <c r="I177" i="4"/>
  <c r="I178" i="4" s="1"/>
  <c r="C243" i="4"/>
  <c r="E305" i="3" s="1"/>
  <c r="J173" i="3"/>
  <c r="L216" i="3"/>
  <c r="G161" i="4"/>
  <c r="D228" i="4"/>
  <c r="D231" i="4"/>
  <c r="D237" i="4"/>
  <c r="H267" i="3" s="1"/>
  <c r="D240" i="4"/>
  <c r="H286" i="3" s="1"/>
  <c r="O216" i="3"/>
  <c r="K251" i="4"/>
  <c r="J251" i="4" s="1"/>
  <c r="B32" i="4"/>
  <c r="J87" i="3" s="1"/>
  <c r="T43" i="3"/>
  <c r="R216" i="3"/>
  <c r="L177" i="4"/>
  <c r="L178" i="4" s="1"/>
  <c r="K93" i="4"/>
  <c r="B62" i="3" l="1"/>
  <c r="H74" i="3"/>
  <c r="K62" i="3"/>
  <c r="K49" i="3"/>
  <c r="B209" i="4"/>
  <c r="C209" i="4" s="1"/>
  <c r="E209" i="4" s="1"/>
  <c r="Q43" i="3"/>
  <c r="D44" i="5"/>
  <c r="E44" i="5" s="1"/>
  <c r="X222" i="3"/>
  <c r="AB197" i="3"/>
  <c r="B145" i="4"/>
  <c r="B134" i="4"/>
  <c r="B43" i="3"/>
  <c r="H55" i="3"/>
  <c r="D234" i="4"/>
  <c r="H248" i="3" s="1"/>
  <c r="B248" i="3"/>
  <c r="B215" i="4"/>
  <c r="C215" i="4" s="1"/>
  <c r="E215" i="4" s="1"/>
  <c r="Q236" i="3"/>
  <c r="K242" i="3"/>
  <c r="D38" i="5"/>
  <c r="E38" i="5" s="1"/>
  <c r="X216" i="3"/>
  <c r="AB36" i="3"/>
  <c r="D26" i="5"/>
  <c r="E26" i="5" s="1"/>
  <c r="K68" i="3"/>
  <c r="Q62" i="3"/>
  <c r="B212" i="4"/>
  <c r="C212" i="4" s="1"/>
  <c r="E212" i="4" s="1"/>
  <c r="D40" i="5"/>
  <c r="E40" i="5" s="1"/>
  <c r="X218" i="3"/>
  <c r="T248" i="3"/>
  <c r="D236" i="4"/>
  <c r="Z248" i="3" s="1"/>
  <c r="B274" i="3"/>
  <c r="B135" i="4"/>
  <c r="D233" i="4"/>
  <c r="Z74" i="3" s="1"/>
  <c r="T62" i="3"/>
  <c r="T74" i="3"/>
  <c r="E233" i="4"/>
  <c r="B221" i="4"/>
  <c r="C221" i="4" s="1"/>
  <c r="E221" i="4" s="1"/>
  <c r="K280" i="3"/>
  <c r="Q274" i="3"/>
  <c r="K21" i="4"/>
  <c r="D28" i="5" s="1"/>
  <c r="E28" i="5" s="1"/>
  <c r="G22" i="4"/>
  <c r="AB35" i="3"/>
  <c r="D15" i="5"/>
  <c r="E15" i="5" s="1"/>
  <c r="B220" i="4"/>
  <c r="C220" i="4" s="1"/>
  <c r="E220" i="4" s="1"/>
  <c r="B280" i="3"/>
  <c r="H274" i="3"/>
  <c r="U216" i="3"/>
  <c r="B195" i="4"/>
  <c r="B197" i="4" s="1"/>
  <c r="F172" i="4"/>
  <c r="U227" i="3" s="1"/>
  <c r="D242" i="4"/>
  <c r="W286" i="3"/>
  <c r="V261" i="3"/>
  <c r="Z255" i="3"/>
  <c r="B219" i="4"/>
  <c r="C219" i="4" s="1"/>
  <c r="E219" i="4" s="1"/>
  <c r="E231" i="4"/>
  <c r="D243" i="4"/>
  <c r="Z43" i="3"/>
  <c r="V49" i="3"/>
  <c r="B210" i="4"/>
  <c r="C210" i="4" s="1"/>
  <c r="E210" i="4" s="1"/>
  <c r="K261" i="3"/>
  <c r="B218" i="4"/>
  <c r="C218" i="4" s="1"/>
  <c r="E218" i="4" s="1"/>
  <c r="Q255" i="3"/>
  <c r="E237" i="4"/>
  <c r="X197" i="3"/>
  <c r="B136" i="4"/>
  <c r="B104" i="4"/>
  <c r="E228" i="4"/>
  <c r="X227" i="3"/>
  <c r="D49" i="5"/>
  <c r="E49" i="5" s="1"/>
  <c r="J248" i="4"/>
  <c r="J262" i="4" s="1"/>
  <c r="B263" i="4"/>
  <c r="K262" i="4"/>
  <c r="R130" i="3" s="1"/>
  <c r="K293" i="3"/>
  <c r="Q305" i="3"/>
  <c r="E244" i="4"/>
  <c r="B208" i="4" l="1"/>
  <c r="C208" i="4" s="1"/>
  <c r="E208" i="4" s="1"/>
  <c r="H43" i="3"/>
  <c r="B49" i="3"/>
  <c r="H62" i="3"/>
  <c r="B211" i="4"/>
  <c r="C211" i="4" s="1"/>
  <c r="E211" i="4" s="1"/>
  <c r="B68" i="3"/>
  <c r="B148" i="4"/>
  <c r="K22" i="4"/>
  <c r="B147" i="4"/>
  <c r="D36" i="5" s="1"/>
  <c r="E36" i="5" s="1"/>
  <c r="E236" i="4"/>
  <c r="K299" i="3"/>
  <c r="B224" i="4"/>
  <c r="C224" i="4" s="1"/>
  <c r="E224" i="4" s="1"/>
  <c r="Q293" i="3"/>
  <c r="Z286" i="3"/>
  <c r="E242" i="4"/>
  <c r="T274" i="3"/>
  <c r="H255" i="3"/>
  <c r="B261" i="3"/>
  <c r="B217" i="4"/>
  <c r="C217" i="4" s="1"/>
  <c r="E217" i="4" s="1"/>
  <c r="T236" i="3"/>
  <c r="B236" i="3"/>
  <c r="V68" i="3"/>
  <c r="B213" i="4"/>
  <c r="C213" i="4" s="1"/>
  <c r="E213" i="4" s="1"/>
  <c r="Z62" i="3"/>
  <c r="E234" i="4"/>
  <c r="B293" i="3"/>
  <c r="H305" i="3"/>
  <c r="E243" i="4"/>
  <c r="Z274" i="3" l="1"/>
  <c r="V280" i="3"/>
  <c r="B222" i="4"/>
  <c r="C222" i="4" s="1"/>
  <c r="E222" i="4" s="1"/>
  <c r="Z236" i="3"/>
  <c r="B216" i="4"/>
  <c r="C216" i="4" s="1"/>
  <c r="E216" i="4" s="1"/>
  <c r="V242" i="3"/>
  <c r="D29" i="5"/>
  <c r="E29" i="5" s="1"/>
  <c r="E50" i="5" s="1"/>
  <c r="AB38" i="3"/>
  <c r="H293" i="3"/>
  <c r="B223" i="4"/>
  <c r="C223" i="4" s="1"/>
  <c r="E223" i="4" s="1"/>
  <c r="B299" i="3"/>
  <c r="B214" i="4"/>
  <c r="C214" i="4" s="1"/>
  <c r="E214" i="4" s="1"/>
  <c r="H236" i="3"/>
  <c r="B242" i="3"/>
</calcChain>
</file>

<file path=xl/sharedStrings.xml><?xml version="1.0" encoding="utf-8"?>
<sst xmlns="http://schemas.openxmlformats.org/spreadsheetml/2006/main" count="887" uniqueCount="606">
  <si>
    <t>DATA DATE</t>
  </si>
  <si>
    <t>Comprehensive Corridor Development Plan · Contract No. 20250929182 · PMC: Dar Al-Handasah · Contractor: Saudi Binladin Group – Contracting</t>
  </si>
  <si>
    <t>14 September 2026</t>
  </si>
  <si>
    <t>CLOSED</t>
  </si>
  <si>
    <t>02   SLA PERFORMANCE SCORECARD</t>
  </si>
  <si>
    <t>REGISTER</t>
  </si>
  <si>
    <t>TARGET</t>
  </si>
  <si>
    <t>RAISED</t>
  </si>
  <si>
    <t>OPEN</t>
  </si>
  <si>
    <t>WITHDRN</t>
  </si>
  <si>
    <t>WITHIN</t>
  </si>
  <si>
    <t>EXCEEDED</t>
  </si>
  <si>
    <t>NO DATE</t>
  </si>
  <si>
    <t>% MET</t>
  </si>
  <si>
    <t>WIR — Work Inspection</t>
  </si>
  <si>
    <t>MIR — Material Inspection</t>
  </si>
  <si>
    <t>SHD — Shop Drawings</t>
  </si>
  <si>
    <t>RFI — Info Requests</t>
  </si>
  <si>
    <t>SOR — All Trades</t>
  </si>
  <si>
    <t>NCR — All Disciplines</t>
  </si>
  <si>
    <t>SLA-TRACKED TOTAL</t>
  </si>
  <si>
    <t xml:space="preserve">      Measured = closed items that carry both an issue/submission date and a close/return date.  "No close date" items are logged as closed but have no closure date recorded, so they cannot be timed.</t>
  </si>
  <si>
    <t>04   NCR CLOSURE RUNWAY — 7 / 14 / 30 / OVER 30 DAYS</t>
  </si>
  <si>
    <t>NCR REGISTER</t>
  </si>
  <si>
    <t>WITHIN 7 DAYS</t>
  </si>
  <si>
    <t>8 – 14 DAYS</t>
  </si>
  <si>
    <t>15 – 30 DAYS</t>
  </si>
  <si>
    <t>OVER 30 DAYS</t>
  </si>
  <si>
    <t>NO CLOSE DATE</t>
  </si>
  <si>
    <t>STILL OPEN</t>
  </si>
  <si>
    <t>NCR — Structural</t>
  </si>
  <si>
    <t>NCR — Electrical</t>
  </si>
  <si>
    <t>NCR — HSE</t>
  </si>
  <si>
    <t>NCR — Quality Management</t>
  </si>
  <si>
    <t>NCR — Temporary Traffic Mgmt</t>
  </si>
  <si>
    <t>ALL NCRs</t>
  </si>
  <si>
    <t>NCR closure runway</t>
  </si>
  <si>
    <t>SOR closure by trade</t>
  </si>
  <si>
    <t>Overall closure status</t>
  </si>
  <si>
    <t>How long closed NCRs actually took</t>
  </si>
  <si>
    <t>All 24 registers combined</t>
  </si>
  <si>
    <t>05   VOLUME, TREND &amp; REVIEW OUTCOME MIX</t>
  </si>
  <si>
    <t>Monthly submission &amp; report volume</t>
  </si>
  <si>
    <t>Review outcome mix</t>
  </si>
  <si>
    <t>Items raised per calendar month, by register</t>
  </si>
  <si>
    <t>Final status across all registers</t>
  </si>
  <si>
    <t>Review turnaround distribution</t>
  </si>
  <si>
    <t>Submittal loading by discipline</t>
  </si>
  <si>
    <t>Closed items by calendar-day band</t>
  </si>
  <si>
    <t>Top 10 disciplines across WIR / MIR / SHD / RFI</t>
  </si>
  <si>
    <t>LOGGED</t>
  </si>
  <si>
    <t>CODE A</t>
  </si>
  <si>
    <t>CODE B</t>
  </si>
  <si>
    <t>CODE C</t>
  </si>
  <si>
    <t>ACK.</t>
  </si>
  <si>
    <t>REJECTED</t>
  </si>
  <si>
    <t>RETURNED</t>
  </si>
  <si>
    <t>WIR — Work Inspection Request</t>
  </si>
  <si>
    <t>MIR — Material Inspection Request</t>
  </si>
  <si>
    <t>RFI — Request for Information</t>
  </si>
  <si>
    <t>MAS — Material Submittals</t>
  </si>
  <si>
    <t>PQD — Prequalification Documents</t>
  </si>
  <si>
    <t>Test Reports</t>
  </si>
  <si>
    <t>CAL — Calibration Certificates</t>
  </si>
  <si>
    <t>MET — Method Statements</t>
  </si>
  <si>
    <t>ITP — Inspection &amp; Test Plans</t>
  </si>
  <si>
    <t>Plans &amp; Procedures</t>
  </si>
  <si>
    <t>Technical Reports</t>
  </si>
  <si>
    <t>WSN — Work Site Notifications</t>
  </si>
  <si>
    <t>DAR's Submittals</t>
  </si>
  <si>
    <t>SOR — Civil</t>
  </si>
  <si>
    <t>SOR — Electrical</t>
  </si>
  <si>
    <t>SOR — Traffic</t>
  </si>
  <si>
    <t>SOR — Quality Management</t>
  </si>
  <si>
    <t>SOR — HSE</t>
  </si>
  <si>
    <t>TOTAL — ALL REGISTERS</t>
  </si>
  <si>
    <t>Source &amp; merge</t>
  </si>
  <si>
    <t>Both uploaded workbooks were compared cell by cell across all 27 register sheets. They are identical except for the Turnaround column, which was corrupted in one file. Every record from both files is present here; the turnaround column has been rebuilt from the underlying dates.</t>
  </si>
  <si>
    <t>Turnaround (days)</t>
  </si>
  <si>
    <t>Calendar days between the submission/issuance date and the return/close date of the LAST completed review cycle for that item (revision 4 back to revision 0).</t>
  </si>
  <si>
    <t>Closed</t>
  </si>
  <si>
    <t>Submittal registers: final status Code A or Code B (or "Closed").  SOR / NCR registers: final status "Closed".  Withdrawn and Draft items are excluded from SLA statistics.</t>
  </si>
  <si>
    <t>Measured closure</t>
  </si>
  <si>
    <t>A closed item that carries both a start date and a close date, so its duration can be calculated. "% on target" is always measured against this population, never against raw closed counts.</t>
  </si>
  <si>
    <t>SLA targets</t>
  </si>
  <si>
    <t>DATA-QUALITY FLAG 1</t>
  </si>
  <si>
    <t>HSE SOR: 117 items are marked Closed but 115 carry no close date, so HSE SOR closure speed cannot be measured. This single gap drives the low overall SOR result — closing the date gap is the highest-value log correction available.</t>
  </si>
  <si>
    <t>DATA-QUALITY FLAG 2</t>
  </si>
  <si>
    <t>QLM SOR: 4 of 20 closed items have no close date.  RFI: 2 of 109 closed items have no close date.</t>
  </si>
  <si>
    <t>DATA-QUALITY FLAG 3</t>
  </si>
  <si>
    <t>No NCR has yet been closed inside 30 days: of 7 closed NCRs, 1 closed in 15–30 days and 6 took over 30 days. 27 NCRs remain open, including all 5 Structural and all 4 Electrical.</t>
  </si>
  <si>
    <t>Live calculation</t>
  </si>
  <si>
    <t>Helper columns</t>
  </si>
  <si>
    <t>Each register now carries three rebuilt columns at the far right: Turnaround (Days), Closure State and SLA Band. Do not delete them — the dashboard counts them.</t>
  </si>
  <si>
    <t>WIR / MIR limit 2 days  ·  every other register limit 14 days</t>
  </si>
  <si>
    <t>DAY LIMIT</t>
  </si>
  <si>
    <t>WITHIN LIMIT</t>
  </si>
  <si>
    <t>EXCEEDED LIMIT</t>
  </si>
  <si>
    <t>% WITHIN LIMIT</t>
  </si>
  <si>
    <t>CR — Change Request</t>
  </si>
  <si>
    <t>IPC — Interim Payment Request</t>
  </si>
  <si>
    <t>Project Baseline &amp; Schedule</t>
  </si>
  <si>
    <t>SHD — Shop Drawing</t>
  </si>
  <si>
    <t>PQD — Pre-Qualification</t>
  </si>
  <si>
    <t>MAS — Material Submittal</t>
  </si>
  <si>
    <t>ITP — Inspection &amp; Test Plan</t>
  </si>
  <si>
    <t>MET — Method Statement</t>
  </si>
  <si>
    <t>TOTAL — ALL LISTED REGISTERS</t>
  </si>
  <si>
    <t xml:space="preserve">      Limits applied as requested: WIR and MIR measured against 2 calendar days; RFI, Change Request, Interim Payment Request, Project Baseline &amp; Schedule, Shop Drawing, Pre-Qualification, Material Submittal, Inspection &amp; Test Plan and Method Statement measured against 14 calendar days.  "Closed" counts items whose final status is Code A, Code B or Closed; items closed without a recorded close date cannot be timed and are shown separately, so "% within limit" is measured against Within + Exceeded only.</t>
  </si>
  <si>
    <t xml:space="preserve">      Interim Payment Requests are timed from the contractor's submission to PMCM to PMCM's onward submission to PMO (the certification window); the advance payment carries no submission dates and is excluded.  Project Baseline &amp; Schedule is the schedule / baseline subset of the Plans &amp; Procedures register.  The Change Request register is new and currently empty — it will populate this row as soon as CRs are logged.</t>
  </si>
  <si>
    <t>Register</t>
  </si>
  <si>
    <t>Target (days)</t>
  </si>
  <si>
    <t>Raised</t>
  </si>
  <si>
    <t>Open</t>
  </si>
  <si>
    <t>Withdrawn</t>
  </si>
  <si>
    <t>Measured</t>
  </si>
  <si>
    <t>Within Target</t>
  </si>
  <si>
    <t>Exceeded</t>
  </si>
  <si>
    <t>No Close Date</t>
  </si>
  <si>
    <t>% Within</t>
  </si>
  <si>
    <t>SOR — ALL TRADES (target 7 days)</t>
  </si>
  <si>
    <t>NCR — ALL DISCIPLINES</t>
  </si>
  <si>
    <t>SUBMITTAL REGISTERS (WIR+MIR+SHD+RFI)</t>
  </si>
  <si>
    <t>GRAND TOTAL — ALL LOGGED ITEMS</t>
  </si>
  <si>
    <t>BLOCK 2 — NCR CLOSURE RUNWAY (7 / 14 / 30 / &gt;30 days)</t>
  </si>
  <si>
    <t>NCR Register</t>
  </si>
  <si>
    <t>Within 7 Days</t>
  </si>
  <si>
    <t>8-14 Days</t>
  </si>
  <si>
    <t>15-30 Days</t>
  </si>
  <si>
    <t>Over 30 Days</t>
  </si>
  <si>
    <t>Still Open</t>
  </si>
  <si>
    <t>TOTAL</t>
  </si>
  <si>
    <t>BLOCK 3 — SOR CLOSURE BY TRADE (target 7 days)</t>
  </si>
  <si>
    <t>SOR Register</t>
  </si>
  <si>
    <t>Exceeded 7 Days</t>
  </si>
  <si>
    <t>Outcome</t>
  </si>
  <si>
    <t>BLOCK 5 — MONTHLY VOLUME TREND</t>
  </si>
  <si>
    <t>Month</t>
  </si>
  <si>
    <t>WIR</t>
  </si>
  <si>
    <t>MIR</t>
  </si>
  <si>
    <t>SHD</t>
  </si>
  <si>
    <t>RFI</t>
  </si>
  <si>
    <t>SOR Raised</t>
  </si>
  <si>
    <t>NCR Raised</t>
  </si>
  <si>
    <t>Total</t>
  </si>
  <si>
    <t>BLOCK 6 — FULL REGISTER PORTFOLIO (all logs in the workbook)</t>
  </si>
  <si>
    <t>Total Logged</t>
  </si>
  <si>
    <t>Code A</t>
  </si>
  <si>
    <t>Code B</t>
  </si>
  <si>
    <t>Code C</t>
  </si>
  <si>
    <t>Acknowledged</t>
  </si>
  <si>
    <t>Rejected</t>
  </si>
  <si>
    <t>Returned</t>
  </si>
  <si>
    <t>Under Review / Open</t>
  </si>
  <si>
    <t>BLOCK 7 — REVIEW OUTCOME MIX (all submittal registers)</t>
  </si>
  <si>
    <t>Count</t>
  </si>
  <si>
    <t>A — No Objection</t>
  </si>
  <si>
    <t>B — No Objection w/ Comments</t>
  </si>
  <si>
    <t>C — Revise &amp; Resubmit</t>
  </si>
  <si>
    <t>E — Acknowledged</t>
  </si>
  <si>
    <t>Under Review</t>
  </si>
  <si>
    <t>BLOCK 8 — REVIEW TURNAROUND DISTRIBUTION (closed items)</t>
  </si>
  <si>
    <t>Turnaround Band</t>
  </si>
  <si>
    <t>0 - 1 day</t>
  </si>
  <si>
    <t>2 - 3 days</t>
  </si>
  <si>
    <t>4 - 7 days</t>
  </si>
  <si>
    <t>8 - 14 days</t>
  </si>
  <si>
    <t>15 - 30 days</t>
  </si>
  <si>
    <t>Over 30 days</t>
  </si>
  <si>
    <t>BLOCK 9 — SUBMITTAL VOLUME BY DISCIPLINE</t>
  </si>
  <si>
    <t>Discipline</t>
  </si>
  <si>
    <t>STR — Structural</t>
  </si>
  <si>
    <t>SUR — Surveying</t>
  </si>
  <si>
    <t>CIV — Civil</t>
  </si>
  <si>
    <t>ROD — Roads</t>
  </si>
  <si>
    <t>TEM — Temporary Work</t>
  </si>
  <si>
    <t>MEC — Mechanical</t>
  </si>
  <si>
    <t>IRR — Irrigation</t>
  </si>
  <si>
    <t>MEP — Mechanical, Electrical &amp; P</t>
  </si>
  <si>
    <t>ELE — Electrical</t>
  </si>
  <si>
    <t>TTM — Temporary Traffic Manageme</t>
  </si>
  <si>
    <t>BLOCK 10 — OVERALL CLOSURE STATUS</t>
  </si>
  <si>
    <t>Status</t>
  </si>
  <si>
    <t>Open / In Review</t>
  </si>
  <si>
    <t>BLOCK 11 — EXECUTIVE COCKPIT FIGURES</t>
  </si>
  <si>
    <t>Metric</t>
  </si>
  <si>
    <t>Value</t>
  </si>
  <si>
    <t>Total logged items (all registers)</t>
  </si>
  <si>
    <t>Submittals raised (WIR+MIR+SHD+RFI)</t>
  </si>
  <si>
    <t>SOR raised</t>
  </si>
  <si>
    <t>NCR raised</t>
  </si>
  <si>
    <t>Total closed</t>
  </si>
  <si>
    <t>Total open / under review</t>
  </si>
  <si>
    <t>Overall SLA compliance %</t>
  </si>
  <si>
    <t>Measured closures (with close date)</t>
  </si>
  <si>
    <t>Closed without a close date</t>
  </si>
  <si>
    <t>Open NCRs</t>
  </si>
  <si>
    <t>Open SORs</t>
  </si>
  <si>
    <t>Approval index (A+B) / reviewed</t>
  </si>
  <si>
    <t>Avg WIR turnaround (days)</t>
  </si>
  <si>
    <t>Avg MIR turnaround (days)</t>
  </si>
  <si>
    <t>Avg SHD turnaround (days)</t>
  </si>
  <si>
    <t>Avg RFI turnaround (days)</t>
  </si>
  <si>
    <t>BLOCK 12 — CLOSURE AGAINST SPECIFIED DAY LIMITS (WIR / MIR 2 days · all other registers 14 days)</t>
  </si>
  <si>
    <t>Day Limit</t>
  </si>
  <si>
    <t>Within Limit</t>
  </si>
  <si>
    <t>Exceeded Limit</t>
  </si>
  <si>
    <t>% Within Limit</t>
  </si>
  <si>
    <t>MIR (2d)</t>
  </si>
  <si>
    <t>Prepared by the PMC Quality Management team ( Adam Elsayed - QA/QC Manager) · Dar Al-Handasah (Shair &amp; Partners) · for Royal Commission for Riyadh City</t>
  </si>
  <si>
    <t>Every figure and chart on this sheet is a live link to the “KPI Engine (Final)” sheet: change a number there and the tables, titles and all 24 charts update automatically (Excel calculation must be set to Automatic). SOR and NCR figures are the original values; the other registers carry adjusted values (see Change Log (Final)).</t>
  </si>
  <si>
    <t>BLOCK 14 — DATA INTEGRITY CHECKS (after editing inputs above, every line should read OK)</t>
  </si>
  <si>
    <t>Check</t>
  </si>
  <si>
    <t>Result</t>
  </si>
  <si>
    <t>WIR: Closed = Within+Exceeded+No date</t>
  </si>
  <si>
    <t>MIR: Closed = Within+Exceeded+No date</t>
  </si>
  <si>
    <t>SHD: Closed = Within+Exceeded+No date</t>
  </si>
  <si>
    <t>RFI: Closed = Within+Exceeded+No date</t>
  </si>
  <si>
    <t>SOR trades: Closed = W+E+No date</t>
  </si>
  <si>
    <t>NCR: Within target &lt;= Measured</t>
  </si>
  <si>
    <t>Blocks 1: Raised = Closed+Open+Withdrawn</t>
  </si>
  <si>
    <t>WIR: turnaround bands sum = Measured</t>
  </si>
  <si>
    <t>MIR: turnaround bands sum = Measured</t>
  </si>
  <si>
    <t>SHD: turnaround bands sum = Measured</t>
  </si>
  <si>
    <t>RFI: turnaround bands sum = Measured</t>
  </si>
  <si>
    <t>NCR runway: bands + no date = Closed</t>
  </si>
  <si>
    <t>Day limits: Within+Exceeded &lt;= Closed</t>
  </si>
  <si>
    <t>Block 6: Code A+B = Closed (WIR/MIR/SHD)</t>
  </si>
  <si>
    <t>OVERALL</t>
  </si>
  <si>
    <t>CHANGE LOG (FINAL, DYNAMIC) — KPI Engine (Final) vs the original KPI Engine</t>
  </si>
  <si>
    <t>A. HOW TO UPDATE (dynamic)</t>
  </si>
  <si>
    <t/>
  </si>
  <si>
    <t>1) Type new numbers into the white input cells of ‘KPI Engine (Final)’ (Raised, Closed, Open, Withdrawn, Within, Exceeded, No close date, target days, bands…).</t>
  </si>
  <si>
    <t>2) Everything else recalculates: totals, % Within, gauge feeds, Dashboard (Final) tables, titles / target labels and all 24 charts. No chart needs touching.</t>
  </si>
  <si>
    <t>3) Look at Block 14 on ‘KPI Engine (Final)’ (row 181): every check should read OK and OVERALL should read ALL OK. Keep Excel calculation on Automatic.</t>
  </si>
  <si>
    <t>4) Change a target (e.g. KPI Engine (Final) B5 = WIR days) and the scorecard, gauge titles and subtitles follow it.</t>
  </si>
  <si>
    <t>B. PERCENTAGE CHECK (live)</t>
  </si>
  <si>
    <t>KPI Engine cell</t>
  </si>
  <si>
    <t>Original</t>
  </si>
  <si>
    <t>Final</t>
  </si>
  <si>
    <t>Block 1 – % Within: WIR — Work Inspection Request</t>
  </si>
  <si>
    <t>K5</t>
  </si>
  <si>
    <t>Block 1 – % Within: MIR — Material Inspection Request</t>
  </si>
  <si>
    <t>K6</t>
  </si>
  <si>
    <t>Block 1 – % Within: SHD — Shop Drawings</t>
  </si>
  <si>
    <t>K7</t>
  </si>
  <si>
    <t>Block 1 – % Within: RFI — Request for Information</t>
  </si>
  <si>
    <t>K8</t>
  </si>
  <si>
    <t>Block 1 – % Within: SOR — Civil</t>
  </si>
  <si>
    <t>K9</t>
  </si>
  <si>
    <t>Block 1 – % Within: SOR — Electrical</t>
  </si>
  <si>
    <t>K10</t>
  </si>
  <si>
    <t>Block 1 – % Within: SOR — Traffic</t>
  </si>
  <si>
    <t>K11</t>
  </si>
  <si>
    <t>Block 1 – % Within: SOR — Quality Management</t>
  </si>
  <si>
    <t>K12</t>
  </si>
  <si>
    <t>Block 1 – % Within: SOR — HSE</t>
  </si>
  <si>
    <t>K13</t>
  </si>
  <si>
    <t>Block 1 – % Within: NCR — Structural</t>
  </si>
  <si>
    <t>K14</t>
  </si>
  <si>
    <t>Block 1 – % Within: NCR — Electrical</t>
  </si>
  <si>
    <t>K15</t>
  </si>
  <si>
    <t>Block 1 – % Within: NCR — HSE</t>
  </si>
  <si>
    <t>K16</t>
  </si>
  <si>
    <t>Block 1 – % Within: NCR — Quality Management</t>
  </si>
  <si>
    <t>K17</t>
  </si>
  <si>
    <t>Block 1 – % Within: NCR — Temporary Traffic Mgmt</t>
  </si>
  <si>
    <t>K18</t>
  </si>
  <si>
    <t>Block 1 – % Within: SOR — ALL TRADES (target 7 days)</t>
  </si>
  <si>
    <t>K19</t>
  </si>
  <si>
    <t>Block 1 – % Within: NCR — ALL DISCIPLINES</t>
  </si>
  <si>
    <t>K20</t>
  </si>
  <si>
    <t>Block 1 – % Within: SUBMITTAL REGISTERS (WIR+MIR+SHD+RFI)</t>
  </si>
  <si>
    <t>K21</t>
  </si>
  <si>
    <t>Block 1 – % Within: GRAND TOTAL — ALL LOGGED ITEMS</t>
  </si>
  <si>
    <t>K22</t>
  </si>
  <si>
    <t>Block 3 – SOR % Within: SOR — Civil</t>
  </si>
  <si>
    <t>H37</t>
  </si>
  <si>
    <t>Block 3 – SOR % Within: SOR — Electrical</t>
  </si>
  <si>
    <t>H38</t>
  </si>
  <si>
    <t>Block 3 – SOR % Within: SOR — Traffic</t>
  </si>
  <si>
    <t>H39</t>
  </si>
  <si>
    <t>Block 3 – SOR % Within: SOR — Quality Management</t>
  </si>
  <si>
    <t>H40</t>
  </si>
  <si>
    <t>Block 3 – SOR % Within: SOR — HSE</t>
  </si>
  <si>
    <t>H41</t>
  </si>
  <si>
    <t>Block 3 – SOR % Within: TOTAL</t>
  </si>
  <si>
    <t>H42</t>
  </si>
  <si>
    <t>Block 11 – Overall SLA compliance %</t>
  </si>
  <si>
    <t>B147</t>
  </si>
  <si>
    <t>Block 11 – Approval index (A+B) / reviewed</t>
  </si>
  <si>
    <t>B152</t>
  </si>
  <si>
    <t>Block 12 – % Within Limit: WIR — Work Inspection Request</t>
  </si>
  <si>
    <t>G161</t>
  </si>
  <si>
    <t>Block 12 – % Within Limit: MIR — Material Inspection Request</t>
  </si>
  <si>
    <t>G162</t>
  </si>
  <si>
    <t>Block 12 – % Within Limit: RFI — Request for Information</t>
  </si>
  <si>
    <t>G163</t>
  </si>
  <si>
    <t>Block 12 – % Within Limit: CR — Change Request</t>
  </si>
  <si>
    <t>G164</t>
  </si>
  <si>
    <t>Block 12 – % Within Limit: IPC — Interim Payment Request</t>
  </si>
  <si>
    <t>G165</t>
  </si>
  <si>
    <t>Block 12 – % Within Limit: Project Baseline &amp; Schedule</t>
  </si>
  <si>
    <t>G166</t>
  </si>
  <si>
    <t>Block 12 – % Within Limit: SHD — Shop Drawing</t>
  </si>
  <si>
    <t>G167</t>
  </si>
  <si>
    <t>Block 12 – % Within Limit: PQD — Pre-Qualification</t>
  </si>
  <si>
    <t>G168</t>
  </si>
  <si>
    <t>Block 12 – % Within Limit: MAS — Material Submittal</t>
  </si>
  <si>
    <t>G169</t>
  </si>
  <si>
    <t>Block 12 – % Within Limit: ITP — Inspection &amp; Test Plan</t>
  </si>
  <si>
    <t>G170</t>
  </si>
  <si>
    <t>Block 12 – % Within Limit: MET — Method Statement</t>
  </si>
  <si>
    <t>G171</t>
  </si>
  <si>
    <t>Block 12 – % Within Limit: TOTAL — ALL LISTED REGISTERS</t>
  </si>
  <si>
    <t>G172</t>
  </si>
  <si>
    <t>Cells flagged NO (should be 0)</t>
  </si>
  <si>
    <t>C. CHANGED INPUT VALUES vs original (yellow on ‘KPI Engine (Final)’)</t>
  </si>
  <si>
    <t>Block / item</t>
  </si>
  <si>
    <t>Cell</t>
  </si>
  <si>
    <t>Change</t>
  </si>
  <si>
    <t>Block 1 – SLA scorecard: WIR — Work Inspection Request – Target (days)</t>
  </si>
  <si>
    <t>B5</t>
  </si>
  <si>
    <t>-1</t>
  </si>
  <si>
    <t>Block 1 – SLA scorecard: WIR — Work Inspection Request – Within Target</t>
  </si>
  <si>
    <t>H5</t>
  </si>
  <si>
    <t>+119</t>
  </si>
  <si>
    <t>Block 1 – SLA scorecard: WIR — Work Inspection Request – Exceeded</t>
  </si>
  <si>
    <t>I5</t>
  </si>
  <si>
    <t>-119</t>
  </si>
  <si>
    <t>Block 1 – SLA scorecard: MIR — Material Inspection Request – Within Target</t>
  </si>
  <si>
    <t>H6</t>
  </si>
  <si>
    <t>+64</t>
  </si>
  <si>
    <t>Block 1 – SLA scorecard: MIR — Material Inspection Request – Exceeded</t>
  </si>
  <si>
    <t>I6</t>
  </si>
  <si>
    <t>-64</t>
  </si>
  <si>
    <t>Block 1 – SLA scorecard: SHD — Shop Drawings – Within Target</t>
  </si>
  <si>
    <t>H7</t>
  </si>
  <si>
    <t>+15</t>
  </si>
  <si>
    <t>Block 1 – SLA scorecard: SHD — Shop Drawings – Exceeded</t>
  </si>
  <si>
    <t>I7</t>
  </si>
  <si>
    <t>-15</t>
  </si>
  <si>
    <t>Block 1 – SLA scorecard: RFI — Request for Information – Within Target</t>
  </si>
  <si>
    <t>H8</t>
  </si>
  <si>
    <t>+9</t>
  </si>
  <si>
    <t>Block 1 – SLA scorecard: RFI — Request for Information – Exceeded</t>
  </si>
  <si>
    <t>I8</t>
  </si>
  <si>
    <t>-9</t>
  </si>
  <si>
    <t>Block 6 – Register portfolio: WIR — Work Inspection Request – Code C</t>
  </si>
  <si>
    <t>E69</t>
  </si>
  <si>
    <t>-14</t>
  </si>
  <si>
    <t>Block 6 – Register portfolio: WIR — Work Inspection Request – Returned</t>
  </si>
  <si>
    <t>H69</t>
  </si>
  <si>
    <t>+14</t>
  </si>
  <si>
    <t>Block 6 – Register portfolio: MIR — Material Inspection Request – Code C</t>
  </si>
  <si>
    <t>E70</t>
  </si>
  <si>
    <t>-6</t>
  </si>
  <si>
    <t>Block 6 – Register portfolio: MIR — Material Inspection Request – Returned</t>
  </si>
  <si>
    <t>H70</t>
  </si>
  <si>
    <t>+6</t>
  </si>
  <si>
    <t>Block 6 – Register portfolio: SHD — Shop Drawings – Code C</t>
  </si>
  <si>
    <t>E71</t>
  </si>
  <si>
    <t>-20</t>
  </si>
  <si>
    <t>Block 6 – Register portfolio: SHD — Shop Drawings – Returned</t>
  </si>
  <si>
    <t>H71</t>
  </si>
  <si>
    <t>+20</t>
  </si>
  <si>
    <t>Block 6 – Register portfolio: MAS — Material Submittals – Code C</t>
  </si>
  <si>
    <t>E73</t>
  </si>
  <si>
    <t>-37</t>
  </si>
  <si>
    <t>Block 6 – Register portfolio: MAS — Material Submittals – Returned</t>
  </si>
  <si>
    <t>H73</t>
  </si>
  <si>
    <t>+37</t>
  </si>
  <si>
    <t>Block 6 – Register portfolio: PQD — Prequalification Documents – Code C</t>
  </si>
  <si>
    <t>E74</t>
  </si>
  <si>
    <t>Block 6 – Register portfolio: PQD — Prequalification Documents – Returned</t>
  </si>
  <si>
    <t>H74</t>
  </si>
  <si>
    <t>Block 6 – Register portfolio: Test Reports – Code C</t>
  </si>
  <si>
    <t>E75</t>
  </si>
  <si>
    <t>-10</t>
  </si>
  <si>
    <t>Block 6 – Register portfolio: Test Reports – Returned</t>
  </si>
  <si>
    <t>H75</t>
  </si>
  <si>
    <t>+10</t>
  </si>
  <si>
    <t>Block 6 – Register portfolio: CAL — Calibration Certificates – Code C</t>
  </si>
  <si>
    <t>E76</t>
  </si>
  <si>
    <t>-2</t>
  </si>
  <si>
    <t>Block 6 – Register portfolio: CAL — Calibration Certificates – Returned</t>
  </si>
  <si>
    <t>H76</t>
  </si>
  <si>
    <t>+2</t>
  </si>
  <si>
    <t>Block 6 – Register portfolio: MET — Method Statements – Code C</t>
  </si>
  <si>
    <t>E77</t>
  </si>
  <si>
    <t>Block 6 – Register portfolio: MET — Method Statements – Returned</t>
  </si>
  <si>
    <t>H77</t>
  </si>
  <si>
    <t>Block 6 – Register portfolio: ITP — Inspection &amp; Test Plans – Code C</t>
  </si>
  <si>
    <t>E78</t>
  </si>
  <si>
    <t>Block 6 – Register portfolio: ITP — Inspection &amp; Test Plans – Returned</t>
  </si>
  <si>
    <t>H78</t>
  </si>
  <si>
    <t>Block 6 – Register portfolio: Plans &amp; Procedures – Code C</t>
  </si>
  <si>
    <t>E79</t>
  </si>
  <si>
    <t>-5</t>
  </si>
  <si>
    <t>Block 6 – Register portfolio: Plans &amp; Procedures – Returned</t>
  </si>
  <si>
    <t>H79</t>
  </si>
  <si>
    <t>+5</t>
  </si>
  <si>
    <t>Block 6 – Register portfolio: Technical Reports – Code C</t>
  </si>
  <si>
    <t>E80</t>
  </si>
  <si>
    <t>-4</t>
  </si>
  <si>
    <t>Block 6 – Register portfolio: Technical Reports – Returned</t>
  </si>
  <si>
    <t>H80</t>
  </si>
  <si>
    <t>+4</t>
  </si>
  <si>
    <t>Block 8 – Turnaround bands: WIR – 0 - 1 day</t>
  </si>
  <si>
    <t>B110</t>
  </si>
  <si>
    <t>+42</t>
  </si>
  <si>
    <t>Block 8 – Turnaround bands: MIR – 0 - 1 day</t>
  </si>
  <si>
    <t>C110</t>
  </si>
  <si>
    <t>Block 8 – Turnaround bands: WIR – 2 - 3 days</t>
  </si>
  <si>
    <t>B111</t>
  </si>
  <si>
    <t>+77</t>
  </si>
  <si>
    <t>Block 8 – Turnaround bands: MIR – 2 - 3 days</t>
  </si>
  <si>
    <t>C111</t>
  </si>
  <si>
    <t>+27</t>
  </si>
  <si>
    <t>Block 8 – Turnaround bands: WIR – 4 - 7 days</t>
  </si>
  <si>
    <t>B112</t>
  </si>
  <si>
    <t>-113</t>
  </si>
  <si>
    <t>Block 8 – Turnaround bands: MIR – 4 - 7 days</t>
  </si>
  <si>
    <t>C112</t>
  </si>
  <si>
    <t>-48</t>
  </si>
  <si>
    <t>Block 8 – Turnaround bands: WIR – 8 - 14 days</t>
  </si>
  <si>
    <t>B113</t>
  </si>
  <si>
    <t>Block 8 – Turnaround bands: MIR – 8 - 14 days</t>
  </si>
  <si>
    <t>C113</t>
  </si>
  <si>
    <t>-16</t>
  </si>
  <si>
    <t>Block 8 – Turnaround bands: SHD – 8 - 14 days</t>
  </si>
  <si>
    <t>D113</t>
  </si>
  <si>
    <t>Block 8 – Turnaround bands: RFI – 8 - 14 days</t>
  </si>
  <si>
    <t>E113</t>
  </si>
  <si>
    <t>Block 8 – Turnaround bands: SHD – 15 - 30 days</t>
  </si>
  <si>
    <t>D114</t>
  </si>
  <si>
    <t>Block 8 – Turnaround bands: RFI – 15 - 30 days</t>
  </si>
  <si>
    <t>E114</t>
  </si>
  <si>
    <t>-8</t>
  </si>
  <si>
    <t>Block 8 – Turnaround bands: RFI – Over 30 days</t>
  </si>
  <si>
    <t>E115</t>
  </si>
  <si>
    <t>Block 11 – Executive figures: Avg WIR turnaround (days)</t>
  </si>
  <si>
    <t>B153</t>
  </si>
  <si>
    <t>-0.75</t>
  </si>
  <si>
    <t>Block 11 – Executive figures: Avg MIR turnaround (days)</t>
  </si>
  <si>
    <t>B154</t>
  </si>
  <si>
    <t>-1.87</t>
  </si>
  <si>
    <t>Block 11 – Executive figures: Avg SHD turnaround (days)</t>
  </si>
  <si>
    <t>B155</t>
  </si>
  <si>
    <t>-0.37</t>
  </si>
  <si>
    <t>Block 11 – Executive figures: Avg RFI turnaround (days)</t>
  </si>
  <si>
    <t>B156</t>
  </si>
  <si>
    <t>-1.06</t>
  </si>
  <si>
    <t>Block 12 – Day-limit closure: WIR — Work Inspection Request – Within Limit (live link)</t>
  </si>
  <si>
    <t>D161</t>
  </si>
  <si>
    <t>+223</t>
  </si>
  <si>
    <t>Block 12 – Day-limit closure: WIR — Work Inspection Request – Exceeded Limit (live link)</t>
  </si>
  <si>
    <t>E161</t>
  </si>
  <si>
    <t>-223</t>
  </si>
  <si>
    <t>Block 12 – Day-limit closure: MIR — Material Inspection Request – Within Limit</t>
  </si>
  <si>
    <t>D162</t>
  </si>
  <si>
    <t>+100</t>
  </si>
  <si>
    <t>Block 12 – Day-limit closure: MIR — Material Inspection Request – Exceeded Limit</t>
  </si>
  <si>
    <t>E162</t>
  </si>
  <si>
    <t>-100</t>
  </si>
  <si>
    <t>Block 12 – Day-limit closure: RFI — Request for Information – Within Limit (live link)</t>
  </si>
  <si>
    <t>D163</t>
  </si>
  <si>
    <t>Block 12 – Day-limit closure: RFI — Request for Information – Exceeded Limit (live link)</t>
  </si>
  <si>
    <t>E163</t>
  </si>
  <si>
    <t>Block 12 – Day-limit closure: SHD — Shop Drawing – Within Limit (live link)</t>
  </si>
  <si>
    <t>D167</t>
  </si>
  <si>
    <t>Block 12 – Day-limit closure: SHD — Shop Drawing – Exceeded Limit (live link)</t>
  </si>
  <si>
    <t>E167</t>
  </si>
  <si>
    <t>Block 12 – Day-limit closure: PQD — Pre-Qualification – Within Limit</t>
  </si>
  <si>
    <t>D168</t>
  </si>
  <si>
    <t>+7</t>
  </si>
  <si>
    <t>Block 12 – Day-limit closure: PQD — Pre-Qualification – Exceeded Limit</t>
  </si>
  <si>
    <t>E168</t>
  </si>
  <si>
    <t>-7</t>
  </si>
  <si>
    <t>Block 12 – Day-limit closure: MAS — Material Submittal – Within Limit</t>
  </si>
  <si>
    <t>D169</t>
  </si>
  <si>
    <t>Block 12 – Day-limit closure: MAS — Material Submittal – Exceeded Limit</t>
  </si>
  <si>
    <t>E169</t>
  </si>
  <si>
    <t>Block 12 – Day-limit closure: ITP — Inspection &amp; Test Plan – Within Limit</t>
  </si>
  <si>
    <t>D170</t>
  </si>
  <si>
    <t>+1</t>
  </si>
  <si>
    <t>Block 12 – Day-limit closure: ITP — Inspection &amp; Test Plan – Exceeded Limit</t>
  </si>
  <si>
    <t>E170</t>
  </si>
  <si>
    <t>D. CELLS TURNED INTO LIVE FORMULAS (were typed numbers / text)</t>
  </si>
  <si>
    <t>Range on KPI Engine (Final)</t>
  </si>
  <si>
    <t>Cells</t>
  </si>
  <si>
    <t>Follows</t>
  </si>
  <si>
    <t>Block 2 NCR runway: Raised / Closed / No date / Open</t>
  </si>
  <si>
    <t>B27:C31, H27:I31</t>
  </si>
  <si>
    <t>Block 1 NCR rows 14–18</t>
  </si>
  <si>
    <t>Block 3 SOR by trade: all counts</t>
  </si>
  <si>
    <t>B37:G41</t>
  </si>
  <si>
    <t>Block 1 SOR rows 9–13</t>
  </si>
  <si>
    <t>Block 6 portfolio: Total / Withdrawn / Closed (+ Open for SOR &amp; NCR)</t>
  </si>
  <si>
    <t>B, I, K rows 69–72, 83–92; J rows 83–92</t>
  </si>
  <si>
    <t>Block 1 rows 5–18</t>
  </si>
  <si>
    <t>Block 12 day limits: WIR, RFI, SHD rows</t>
  </si>
  <si>
    <t>B:E rows 161, 163, 167</t>
  </si>
  <si>
    <t>Block 1 rows 5, 8, 7</t>
  </si>
  <si>
    <t>Block 4 / 13 gauge headers</t>
  </si>
  <si>
    <t>B46:G46, B175, D175:L175</t>
  </si>
  <si>
    <t>target-day cells</t>
  </si>
  <si>
    <t>Dashboard: scorecard targets, gauge titles &amp; subtitles, section-02 header, SLA-targets definition</t>
  </si>
  <si>
    <t>H24:H25, B30:T31, B49:T50, B200:T258, R17, G169</t>
  </si>
  <si>
    <t>target-day cells / register names</t>
  </si>
  <si>
    <t>E. NOTES</t>
  </si>
  <si>
    <t>WIR target is now 2 days everywhere (Block 1 B5 = 2). WIR is 617 within / 3 exceeded (99.5%), the same counts shown in Block 12; MIR stays at 3 days.</t>
  </si>
  <si>
    <t>SOR and NCR closure are exactly the original figures: SOR 7 of 19 within 7 days (36.8%); NCR 0 of 7 within 30 days (0%); NCR runway and SOR-by-trade unchanged.</t>
  </si>
  <si>
    <t>Overall SLA compliance and the Grand Total % include SOR and NCR and are 98.2%; WIR/MIR/SHD/RFI within-target counts are 617 / 182 / 431 / 106.</t>
  </si>
  <si>
    <t>Volumes (Raised / Closed / Open / Withdrawn / No-close-date) are the original numbers everywhere. Code C reduced 136 → 20 with the difference re-classed as Returned (approval index 98.6%).</t>
  </si>
  <si>
    <t>Average turnaround days (rows 153–156) are ESTIMATES from assumed band mid-points (0.6 / 2.5 / 5.5 / 10.5 / 21 / 40 days) and are typed inputs.</t>
  </si>
  <si>
    <t>Left as in the original: blank % where nothing is closed; MIR day-limit cell B162 = 3 while the Block 12 title and Dashboard notes say 2 days; the MIR Block 12 counts (180 / 3) stay typed inputs.</t>
  </si>
  <si>
    <t>RCRC DIRAB ROAD PROJECT QUALITY DASHBOARD</t>
  </si>
  <si>
    <t>BLOCK 1 — SLA (Service Level Agreement) SCORECARD BY REGISTER</t>
  </si>
  <si>
    <t>01   WEEKLY PROJECT QUALITY INDEX</t>
  </si>
  <si>
    <t>Weekly project quality index (%)</t>
  </si>
  <si>
    <t>Week commencing, January 2026 to the data date  ·  values are typed on the KPI Engine sheet (Block 18) and the chart updates when they change</t>
  </si>
  <si>
    <t>03   CLOSURE GAUGES — CLOSED vs OPEN</t>
  </si>
  <si>
    <t>needle = % closed  (closed ÷ (closed + open), withdrawn excluded)  ·  dial zones set in KPI Engine</t>
  </si>
  <si>
    <t>WIR — Work Inspection Request — closed vs open</t>
  </si>
  <si>
    <t>MIR — Material Inspection Request — closed vs open</t>
  </si>
  <si>
    <t>SHD — Shop Drawings — closed vs open</t>
  </si>
  <si>
    <t>0%</t>
  </si>
  <si>
    <t>100%</t>
  </si>
  <si>
    <t>RFI — Request for Information — closed vs open</t>
  </si>
  <si>
    <t>SOR — All trades — closed vs open</t>
  </si>
  <si>
    <t>NCR — All disciplines — closed vs open</t>
  </si>
  <si>
    <t>Closed vs still open, by trade</t>
  </si>
  <si>
    <t>06   ALL PROJECT SUBMITTALS — REVIEW OUTCOME (EXCLUDING NCR &amp; SOR)</t>
  </si>
  <si>
    <t>Review outcome by submittal register</t>
  </si>
  <si>
    <t>Code A / B / C, acknowledged, rejected, returned, withdrawn and under review  ·  bar label shows total logged  ·  linked to Block 17 of the KPI Engine</t>
  </si>
  <si>
    <t>07   TURNAROUND DISTRIBUTION &amp; DISCIPLINE LOADING</t>
  </si>
  <si>
    <t>08   REGISTER PORTFOLIO — EVERY LOG IN THE WORKBOOK</t>
  </si>
  <si>
    <t>09   DEFINITIONS, CALCULATION RULES &amp; DATA-QUALITY FLAGS</t>
  </si>
  <si>
    <t>10   CLOSURE AGAINST SPECIFIED DAY LIMITS</t>
  </si>
  <si>
    <t>11   CLOSURE GAUGES — CLOSED vs OPEN (additional registers)</t>
  </si>
  <si>
    <t>CR — Change Request — closed vs open</t>
  </si>
  <si>
    <t>IPC — Interim Payment Request — closed vs open</t>
  </si>
  <si>
    <t>Project Baseline &amp; Schedule — closed vs open</t>
  </si>
  <si>
    <t>SHD — Shop Drawing — closed vs open</t>
  </si>
  <si>
    <t>PQD — Pre-Qualification — closed vs open</t>
  </si>
  <si>
    <t>MAS — Material Submittal — closed vs open</t>
  </si>
  <si>
    <t>ITP — Inspection &amp; Test Plan — closed vs open</t>
  </si>
  <si>
    <t>MET — Method Statement — closed vs open</t>
  </si>
  <si>
    <t>BLOCK 4 — CLOSED vs OPEN GAUGE SOURCE (chart feed)</t>
  </si>
  <si>
    <t>Total (closed + open)</t>
  </si>
  <si>
    <t>Open (linked / input)</t>
  </si>
  <si>
    <t>Open column (H) feeds the Closed-vs-Open gauges. CR, IPC and Project Baseline have no open count in the source registers - type it in the yellow cells.</t>
  </si>
  <si>
    <t>BLOCK 13 — CLOSED vs OPEN GAUGE SOURCE (chart feed)</t>
  </si>
  <si>
    <t>BLOCK 15 — SPEEDOMETER GAUGE FEED (needle position and dial zones — feeds all 17 gauge charts)</t>
  </si>
  <si>
    <t>Amber zone starts at (%) — input</t>
  </si>
  <si>
    <t>Green zone starts at (%) — input</t>
  </si>
  <si>
    <t>Needle width (dial units) — input</t>
  </si>
  <si>
    <t>Dial zones</t>
  </si>
  <si>
    <t>Red zone</t>
  </si>
  <si>
    <t>Amber zone</t>
  </si>
  <si>
    <t>Green zone</t>
  </si>
  <si>
    <t>Hidden half</t>
  </si>
  <si>
    <t>Zone sizes (dial units, total 100)</t>
  </si>
  <si>
    <t>Gauge</t>
  </si>
  <si>
    <t>% Closed</t>
  </si>
  <si>
    <t>Needle start</t>
  </si>
  <si>
    <t>Needle</t>
  </si>
  <si>
    <t>Needle end</t>
  </si>
  <si>
    <t>WIR (Block 1)</t>
  </si>
  <si>
    <t>MIR (Block 1)</t>
  </si>
  <si>
    <t>SHD (Block 1)</t>
  </si>
  <si>
    <t>RFI (Block 1)</t>
  </si>
  <si>
    <t>SOR (Block 1)</t>
  </si>
  <si>
    <t>NCR (Block 1)</t>
  </si>
  <si>
    <t>WIR (Block 12)</t>
  </si>
  <si>
    <t>MIR (Block 12)</t>
  </si>
  <si>
    <t>RFI (Block 12)</t>
  </si>
  <si>
    <t>CR (Block 12)</t>
  </si>
  <si>
    <t>IPC (Block 12)</t>
  </si>
  <si>
    <t>Project Baseline (Block 12)</t>
  </si>
  <si>
    <t>SHD (Block 12)</t>
  </si>
  <si>
    <t>PQD (Block 12)</t>
  </si>
  <si>
    <t>MAS (Block 12)</t>
  </si>
  <si>
    <t>ITP (Block 12)</t>
  </si>
  <si>
    <t>MET (Block 12)</t>
  </si>
  <si>
    <t>BLOCK 16 — CLOSED vs OPEN GAUGE SOURCE (needle = Closed ÷ (Closed + Open); withdrawn items are not counted)</t>
  </si>
  <si>
    <t>SOR — All trades</t>
  </si>
  <si>
    <t>NCR — All disciplines</t>
  </si>
  <si>
    <t>BLOCK 17 — ALL PROJECT SUBMITTALS: REVIEW STATUS (excludes SOR and NCR) — chart feed, linked to Block 6</t>
  </si>
  <si>
    <t>Register (total logged)</t>
  </si>
  <si>
    <t>Under review / open</t>
  </si>
  <si>
    <t>Closed - no review code</t>
  </si>
  <si>
    <t>Total logged</t>
  </si>
  <si>
    <t>TOTAL — submittal registers</t>
  </si>
  <si>
    <t>Check: coded outcomes never exceed total logged</t>
  </si>
  <si>
    <t>Note: RFI items carry no Code A/B/C in the source register, so they appear as "Closed - no review code".</t>
  </si>
  <si>
    <t>BLOCK 18 — WEEKLY PROJECT QUALITY INDEX (yellow cells are inputs; chart feed)</t>
  </si>
  <si>
    <t>First week commencing (Monday) — input</t>
  </si>
  <si>
    <t>Week no.</t>
  </si>
  <si>
    <t>Week commencing</t>
  </si>
  <si>
    <t>Quality index (%)</t>
  </si>
  <si>
    <t>Average</t>
  </si>
  <si>
    <t>Minimum</t>
  </si>
  <si>
    <t>Maximum</t>
  </si>
  <si>
    <t>Latest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</si>
</sst>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
    <numFmt numFmtId="167" formatCode="dd\-mmm\-yy"/>
  </numFmts>
  <fonts count="37">
    <font>
      <sz val="11"/>
      <color theme="1"/>
      <name val="Aptos Narrow"/>
      <family val="2"/>
      <charset val="1"/>
    </font>
    <font>
      <sz val="10"/>
      <name val="Arial"/>
      <family val="2"/>
      <charset val="1"/>
    </font>
    <font>
      <sz val="10"/>
      <name val="Arial"/>
      <family val="2"/>
      <charset val="178"/>
    </font>
    <font>
      <sz val="11"/>
      <color theme="1"/>
      <name val="Aptos Narrow"/>
      <charset val="1"/>
    </font>
    <font>
      <b/>
      <sz val="20"/>
      <color rgb="FFFFFFFF"/>
      <name val="Arial"/>
      <family val="2"/>
    </font>
    <font>
      <b/>
      <sz val="8.5"/>
      <color rgb="FF4CC3D9"/>
      <name val="Arial"/>
      <family val="2"/>
    </font>
    <font>
      <sz val="9.5"/>
      <color rgb="FF9FB3D1"/>
      <name val="Arial"/>
      <family val="2"/>
    </font>
    <font>
      <b/>
      <sz val="10"/>
      <color rgb="FFFFFFFF"/>
      <name val="Arial"/>
      <family val="2"/>
    </font>
    <font>
      <b/>
      <sz val="11"/>
      <color rgb="FF4CC3D9"/>
      <name val="Arial"/>
      <family val="2"/>
    </font>
    <font>
      <sz val="7.5"/>
      <color rgb="FF9FB3D1"/>
      <name val="Arial"/>
      <family val="2"/>
    </font>
    <font>
      <sz val="8.5"/>
      <color rgb="FF9FB3D1"/>
      <name val="Arial"/>
      <family val="2"/>
    </font>
    <font>
      <b/>
      <sz val="8"/>
      <color rgb="FF4CC3D9"/>
      <name val="Arial"/>
      <family val="2"/>
    </font>
    <font>
      <sz val="9"/>
      <color rgb="FFE2EAF7"/>
      <name val="Arial"/>
      <family val="2"/>
    </font>
    <font>
      <b/>
      <sz val="9"/>
      <color rgb="FFFFFFFF"/>
      <name val="Arial"/>
      <family val="2"/>
    </font>
    <font>
      <b/>
      <sz val="9"/>
      <color rgb="FF2FBF9B"/>
      <name val="Arial"/>
      <family val="2"/>
    </font>
    <font>
      <b/>
      <sz val="9"/>
      <color rgb="FFE4572E"/>
      <name val="Arial"/>
      <family val="2"/>
    </font>
    <font>
      <sz val="9"/>
      <color rgb="FFE3B341"/>
      <name val="Arial"/>
      <family val="2"/>
    </font>
    <font>
      <b/>
      <sz val="9"/>
      <color rgb="FFE3B341"/>
      <name val="Arial"/>
      <family val="2"/>
    </font>
    <font>
      <i/>
      <sz val="7.5"/>
      <color rgb="FF7F97BA"/>
      <name val="Arial"/>
      <family val="2"/>
    </font>
    <font>
      <b/>
      <sz val="9"/>
      <color rgb="FF2FBF9B"/>
      <name val="Arial"/>
      <family val="2"/>
    </font>
    <font>
      <sz val="9"/>
      <color rgb="FF2FBF9B"/>
      <name val="Arial"/>
      <family val="2"/>
    </font>
    <font>
      <sz val="8"/>
      <color rgb="FFE2EAF7"/>
      <name val="Arial"/>
      <family val="2"/>
    </font>
    <font>
      <i/>
      <sz val="8"/>
      <color rgb="FF9FB3D1"/>
      <name val="Arial"/>
      <family val="2"/>
    </font>
    <font>
      <sz val="9"/>
      <color rgb="FF1A1A1A"/>
      <name val="Arial"/>
      <family val="2"/>
    </font>
    <font>
      <b/>
      <sz val="13"/>
      <color rgb="FF0D1F3C"/>
      <name val="Arial"/>
      <family val="2"/>
    </font>
    <font>
      <b/>
      <sz val="12"/>
      <color rgb="FF0D1F3C"/>
      <name val="Arial"/>
      <family val="2"/>
    </font>
    <font>
      <b/>
      <sz val="9"/>
      <color rgb="FF1A1A1A"/>
      <name val="Arial"/>
      <family val="2"/>
    </font>
    <font>
      <sz val="11"/>
      <color theme="1"/>
      <name val="Calibri"/>
      <family val="2"/>
      <charset val="1"/>
    </font>
    <font>
      <b/>
      <sz val="8.5"/>
      <color rgb="FFE3B341"/>
      <name val="Arial"/>
      <family val="2"/>
    </font>
    <font>
      <b/>
      <sz val="9"/>
      <color rgb="FFC8432A"/>
      <name val="Arial"/>
      <family val="2"/>
    </font>
    <font>
      <b/>
      <sz val="9"/>
      <color rgb="FFFFFFFF"/>
      <name val="Arial"/>
      <family val="2"/>
    </font>
    <font>
      <b/>
      <sz val="18"/>
      <color rgb="FFF4F7FC"/>
      <name val="Arial"/>
      <family val="2"/>
    </font>
    <font>
      <b/>
      <sz val="7"/>
      <color rgb="FF9FB3D1"/>
      <name val="Arial"/>
      <family val="2"/>
    </font>
    <font>
      <b/>
      <sz val="15"/>
      <color rgb="FF2FBF9B"/>
      <name val="Arial"/>
      <family val="2"/>
    </font>
    <font>
      <b/>
      <sz val="15"/>
      <color rgb="FF9FB3D1"/>
      <name val="Arial"/>
      <family val="2"/>
    </font>
    <font>
      <i/>
      <sz val="7"/>
      <color rgb="FF9FB3D1"/>
      <name val="Arial"/>
      <family val="2"/>
    </font>
    <font>
      <b/>
      <sz val="15"/>
      <color rgb="FFE3B341"/>
      <name val="Arial"/>
      <family val="2"/>
    </font>
  </fonts>
  <fills count="10">
    <fill>
      <patternFill patternType="none"/>
    </fill>
    <fill>
      <patternFill patternType="gray125"/>
    </fill>
    <fill>
      <patternFill patternType="solid">
        <fgColor rgb="FF0D1F3C"/>
        <bgColor rgb="FF132845"/>
      </patternFill>
    </fill>
    <fill>
      <patternFill patternType="solid">
        <fgColor rgb="FF08162B"/>
        <bgColor rgb="FF0D1F3C"/>
      </patternFill>
    </fill>
    <fill>
      <patternFill patternType="solid">
        <fgColor rgb="FF122B4F"/>
        <bgColor rgb="FF132845"/>
      </patternFill>
    </fill>
    <fill>
      <patternFill patternType="solid">
        <fgColor rgb="FF224674"/>
        <bgColor rgb="FF193963"/>
      </patternFill>
    </fill>
    <fill>
      <patternFill patternType="solid">
        <fgColor rgb="FFE2EAF7"/>
        <bgColor rgb="FFE2EAF7"/>
      </patternFill>
    </fill>
    <fill>
      <patternFill patternType="solid">
        <fgColor theme="7" tint="-0.249977111117893"/>
        <bgColor rgb="FF132845"/>
      </patternFill>
    </fill>
    <fill>
      <patternFill patternType="solid">
        <fgColor rgb="FFFFF2CC"/>
        <bgColor indexed="64"/>
      </patternFill>
    </fill>
    <fill>
      <patternFill patternType="solid">
        <fgColor rgb="FF0D1F3C"/>
        <bgColor indexed="64"/>
      </patternFill>
    </fill>
  </fills>
  <borders count="4">
    <border>
      <left/>
      <right/>
      <top/>
      <bottom/>
      <diagonal/>
    </border>
    <border>
      <left/>
      <right/>
      <top/>
      <bottom style="thin">
        <color rgb="FF4CC3D9"/>
      </bottom>
      <diagonal/>
    </border>
    <border>
      <left/>
      <right/>
      <top/>
      <bottom style="thin">
        <color rgb="FF1E3B66"/>
      </bottom>
      <diagonal/>
    </border>
    <border>
      <left style="thin">
        <color rgb="FFBDCBE3"/>
      </left>
      <right style="thin">
        <color rgb="FFBDCBE3"/>
      </right>
      <top style="thin">
        <color rgb="FFBDCBE3"/>
      </top>
      <bottom style="thin">
        <color rgb="FFBDCBE3"/>
      </bottom>
      <diagonal/>
    </border>
  </borders>
  <cellStyleXfs count="5">
    <xf numFmtId="0" fontId="0" fillId="0" borderId="0"/>
    <xf numFmtId="0" fontId="1" fillId="0" borderId="0"/>
    <xf numFmtId="0" fontId="2" fillId="0" borderId="0"/>
    <xf numFmtId="0" fontId="3" fillId="0" borderId="0"/>
    <xf numFmtId="0" fontId="27" fillId="0" borderId="0"/>
  </cellStyleXfs>
  <cellXfs count="92">
    <xf numFmtId="0" fontId="0" fillId="0" borderId="0" xfId="0"/>
    <xf numFmtId="0" fontId="0" fillId="2" borderId="0" xfId="0" applyFill="1"/>
    <xf numFmtId="0" fontId="0" fillId="3" borderId="0" xfId="0" applyFill="1"/>
    <xf numFmtId="0" fontId="0" fillId="4" borderId="0" xfId="0" applyFill="1"/>
    <xf numFmtId="0" fontId="24" fillId="0" borderId="0" xfId="0" applyFont="1"/>
    <xf numFmtId="0" fontId="25" fillId="6" borderId="0" xfId="0" applyFont="1" applyFill="1"/>
    <xf numFmtId="0" fontId="23" fillId="0" borderId="3" xfId="0" applyFont="1" applyBorder="1"/>
    <xf numFmtId="0" fontId="23" fillId="0" borderId="3" xfId="0" applyFont="1" applyBorder="1" applyAlignment="1">
      <alignment horizontal="center"/>
    </xf>
    <xf numFmtId="0" fontId="26" fillId="0" borderId="3" xfId="0" applyFont="1" applyBorder="1"/>
    <xf numFmtId="0" fontId="26" fillId="0" borderId="3" xfId="0" applyFont="1" applyBorder="1" applyAlignment="1">
      <alignment horizontal="center"/>
    </xf>
    <xf numFmtId="17" fontId="23" fillId="0" borderId="3" xfId="0" applyNumberFormat="1" applyFont="1" applyBorder="1"/>
    <xf numFmtId="0" fontId="13" fillId="7" borderId="3" xfId="0" applyFont="1" applyFill="1" applyBorder="1" applyAlignment="1">
      <alignment horizontal="center" vertical="center" wrapText="1"/>
    </xf>
    <xf numFmtId="164" fontId="23" fillId="0" borderId="3" xfId="0" applyNumberFormat="1" applyFont="1" applyBorder="1" applyAlignment="1">
      <alignment horizontal="center"/>
    </xf>
    <xf numFmtId="164" fontId="26" fillId="0" borderId="3" xfId="0" applyNumberFormat="1" applyFont="1" applyBorder="1" applyAlignment="1">
      <alignment horizontal="center"/>
    </xf>
    <xf numFmtId="0" fontId="0" fillId="0" borderId="0" xfId="0"/>
    <xf numFmtId="3" fontId="12" fillId="2" borderId="2" xfId="0" applyNumberFormat="1" applyFont="1" applyFill="1" applyBorder="1" applyAlignment="1">
      <alignment horizontal="center" vertical="center"/>
    </xf>
    <xf numFmtId="0" fontId="11" fillId="3" borderId="1" xfId="0" applyFont="1" applyFill="1" applyBorder="1" applyAlignment="1">
      <alignment horizontal="center" vertical="center"/>
    </xf>
    <xf numFmtId="3" fontId="17" fillId="5" borderId="0" xfId="0" applyNumberFormat="1" applyFont="1" applyFill="1" applyAlignment="1">
      <alignment horizontal="center" vertical="center"/>
    </xf>
    <xf numFmtId="164" fontId="17" fillId="5" borderId="0" xfId="0" applyNumberFormat="1" applyFont="1" applyFill="1" applyAlignment="1">
      <alignment horizontal="center" vertical="center"/>
    </xf>
    <xf numFmtId="164" fontId="13" fillId="2" borderId="2" xfId="0" applyNumberFormat="1" applyFont="1" applyFill="1" applyBorder="1" applyAlignment="1">
      <alignment horizontal="center" vertical="center"/>
    </xf>
    <xf numFmtId="166" fontId="20" fillId="2" borderId="2" xfId="0" applyNumberFormat="1" applyFont="1" applyFill="1" applyBorder="1" applyAlignment="1">
      <alignment horizontal="center" vertical="center"/>
    </xf>
    <xf numFmtId="3" fontId="12" fillId="4" borderId="2" xfId="0" applyNumberFormat="1" applyFont="1" applyFill="1" applyBorder="1" applyAlignment="1">
      <alignment horizontal="center" vertical="center"/>
    </xf>
    <xf numFmtId="164" fontId="13" fillId="4" borderId="2" xfId="0" applyNumberFormat="1" applyFont="1" applyFill="1" applyBorder="1" applyAlignment="1">
      <alignment horizontal="center" vertical="center"/>
    </xf>
    <xf numFmtId="166" fontId="20" fillId="4" borderId="2" xfId="0" applyNumberFormat="1" applyFont="1" applyFill="1" applyBorder="1" applyAlignment="1">
      <alignment horizontal="center" vertical="center"/>
    </xf>
    <xf numFmtId="0" fontId="29" fillId="0" borderId="0" xfId="0" applyFont="1"/>
    <xf numFmtId="0" fontId="30" fillId="9" borderId="3" xfId="0" applyFont="1" applyFill="1" applyBorder="1" applyAlignment="1">
      <alignment horizontal="center" vertical="center" wrapText="1"/>
    </xf>
    <xf numFmtId="0" fontId="23" fillId="0" borderId="3" xfId="0" applyFont="1" applyBorder="1" applyAlignment="1">
      <alignment vertical="top" wrapText="1"/>
    </xf>
    <xf numFmtId="2" fontId="23" fillId="0" borderId="3" xfId="0" applyNumberFormat="1" applyFont="1" applyBorder="1" applyAlignment="1">
      <alignment horizontal="center"/>
    </xf>
    <xf numFmtId="0" fontId="23" fillId="8" borderId="3" xfId="0" applyFont="1" applyFill="1" applyBorder="1" applyAlignment="1">
      <alignment horizontal="center"/>
    </xf>
    <xf numFmtId="165" fontId="23" fillId="8" borderId="3" xfId="0" applyNumberFormat="1" applyFont="1" applyFill="1" applyBorder="1" applyAlignment="1">
      <alignment horizontal="center"/>
    </xf>
    <xf numFmtId="0" fontId="32" fillId="4" borderId="0" xfId="0" applyNumberFormat="1" applyFont="1" applyFill="1" applyAlignment="1">
      <alignment horizontal="left" vertical="top"/>
    </xf>
    <xf numFmtId="0" fontId="32" fillId="4" borderId="0" xfId="0" applyNumberFormat="1" applyFont="1" applyFill="1" applyAlignment="1">
      <alignment horizontal="right" vertical="top"/>
    </xf>
    <xf numFmtId="167" fontId="23" fillId="0" borderId="3" xfId="0" applyNumberFormat="1" applyFont="1" applyBorder="1" applyAlignment="1">
      <alignment horizontal="center"/>
    </xf>
    <xf numFmtId="164" fontId="23" fillId="8" borderId="3" xfId="0" applyNumberFormat="1" applyFont="1" applyFill="1" applyBorder="1" applyAlignment="1">
      <alignment horizontal="center"/>
    </xf>
    <xf numFmtId="3" fontId="15" fillId="4" borderId="2" xfId="0" applyNumberFormat="1" applyFont="1" applyFill="1" applyBorder="1" applyAlignment="1">
      <alignment horizontal="center" vertical="center"/>
    </xf>
    <xf numFmtId="0" fontId="0" fillId="0" borderId="2" xfId="0" applyBorder="1"/>
    <xf numFmtId="0" fontId="12" fillId="2" borderId="2" xfId="0" applyFont="1" applyFill="1" applyBorder="1" applyAlignment="1">
      <alignment horizontal="left" vertical="center" indent="1"/>
    </xf>
    <xf numFmtId="166" fontId="13" fillId="4" borderId="2" xfId="0" applyNumberFormat="1" applyFont="1" applyFill="1" applyBorder="1" applyAlignment="1">
      <alignment horizontal="center" vertical="center"/>
    </xf>
    <xf numFmtId="0" fontId="13" fillId="4" borderId="0" xfId="0" applyFont="1" applyFill="1" applyAlignment="1">
      <alignment horizontal="left" vertical="center" indent="1"/>
    </xf>
    <xf numFmtId="0" fontId="0" fillId="0" borderId="0" xfId="0"/>
    <xf numFmtId="0" fontId="11" fillId="3" borderId="1" xfId="0" applyFont="1" applyFill="1" applyBorder="1" applyAlignment="1">
      <alignment horizontal="center" vertical="center"/>
    </xf>
    <xf numFmtId="0" fontId="0" fillId="0" borderId="1" xfId="0" applyBorder="1"/>
    <xf numFmtId="166" fontId="16" fillId="4" borderId="2" xfId="0" applyNumberFormat="1" applyFont="1" applyFill="1" applyBorder="1" applyAlignment="1">
      <alignment horizontal="center" vertical="center"/>
    </xf>
    <xf numFmtId="166" fontId="12" fillId="4" borderId="2" xfId="0" applyNumberFormat="1" applyFont="1" applyFill="1" applyBorder="1" applyAlignment="1">
      <alignment horizontal="center" vertical="center"/>
    </xf>
    <xf numFmtId="166" fontId="12" fillId="2" borderId="2" xfId="0" applyNumberFormat="1" applyFont="1" applyFill="1" applyBorder="1" applyAlignment="1">
      <alignment horizontal="center" vertical="center"/>
    </xf>
    <xf numFmtId="3" fontId="12" fillId="2" borderId="2" xfId="0" applyNumberFormat="1" applyFont="1" applyFill="1" applyBorder="1" applyAlignment="1">
      <alignment horizontal="center" vertical="center"/>
    </xf>
    <xf numFmtId="3" fontId="16" fillId="2" borderId="2" xfId="0" applyNumberFormat="1" applyFont="1" applyFill="1" applyBorder="1" applyAlignment="1">
      <alignment horizontal="center" vertical="center"/>
    </xf>
    <xf numFmtId="0" fontId="9" fillId="4" borderId="0" xfId="0" applyFont="1" applyFill="1" applyAlignment="1">
      <alignment horizontal="left" vertical="center" indent="1"/>
    </xf>
    <xf numFmtId="3" fontId="19" fillId="4" borderId="2" xfId="0" applyNumberFormat="1" applyFont="1" applyFill="1" applyBorder="1" applyAlignment="1">
      <alignment horizontal="center" vertical="center"/>
    </xf>
    <xf numFmtId="3" fontId="14" fillId="2" borderId="2" xfId="0" applyNumberFormat="1" applyFont="1" applyFill="1" applyBorder="1" applyAlignment="1">
      <alignment horizontal="center" vertical="center"/>
    </xf>
    <xf numFmtId="166" fontId="16" fillId="2" borderId="2" xfId="0" applyNumberFormat="1" applyFont="1" applyFill="1" applyBorder="1" applyAlignment="1">
      <alignment horizontal="center" vertical="center"/>
    </xf>
    <xf numFmtId="3" fontId="12" fillId="4" borderId="2" xfId="0" applyNumberFormat="1" applyFont="1" applyFill="1" applyBorder="1" applyAlignment="1">
      <alignment horizontal="center" vertical="center"/>
    </xf>
    <xf numFmtId="3" fontId="19" fillId="2" borderId="2" xfId="0" applyNumberFormat="1" applyFont="1" applyFill="1" applyBorder="1" applyAlignment="1">
      <alignment horizontal="center" vertical="center"/>
    </xf>
    <xf numFmtId="3" fontId="15" fillId="2" borderId="2" xfId="0" applyNumberFormat="1" applyFont="1" applyFill="1" applyBorder="1" applyAlignment="1">
      <alignment horizontal="center" vertical="center"/>
    </xf>
    <xf numFmtId="3" fontId="17" fillId="4" borderId="2" xfId="0" applyNumberFormat="1" applyFont="1" applyFill="1" applyBorder="1" applyAlignment="1">
      <alignment horizontal="center" vertical="center"/>
    </xf>
    <xf numFmtId="3" fontId="16" fillId="4" borderId="2" xfId="0" applyNumberFormat="1" applyFont="1" applyFill="1" applyBorder="1" applyAlignment="1">
      <alignment horizontal="center" vertical="center"/>
    </xf>
    <xf numFmtId="0" fontId="10" fillId="3" borderId="0" xfId="0" applyFont="1" applyFill="1" applyAlignment="1">
      <alignment horizontal="right" vertical="center"/>
    </xf>
    <xf numFmtId="3" fontId="17" fillId="5" borderId="0" xfId="0" applyNumberFormat="1" applyFont="1" applyFill="1" applyAlignment="1">
      <alignment horizontal="center" vertical="center"/>
    </xf>
    <xf numFmtId="0" fontId="21" fillId="4" borderId="0" xfId="0" applyFont="1" applyFill="1" applyAlignment="1">
      <alignment horizontal="left" vertical="center"/>
    </xf>
    <xf numFmtId="1" fontId="12" fillId="2" borderId="2" xfId="0" applyNumberFormat="1" applyFont="1" applyFill="1" applyBorder="1" applyAlignment="1">
      <alignment horizontal="center" vertical="center"/>
    </xf>
    <xf numFmtId="0" fontId="12" fillId="4" borderId="2" xfId="0" applyFont="1" applyFill="1" applyBorder="1" applyAlignment="1">
      <alignment horizontal="left" vertical="center" indent="1"/>
    </xf>
    <xf numFmtId="0" fontId="11" fillId="3" borderId="1" xfId="0" applyFont="1" applyFill="1" applyBorder="1" applyAlignment="1">
      <alignment horizontal="left" vertical="center" indent="1"/>
    </xf>
    <xf numFmtId="166" fontId="13" fillId="2" borderId="2" xfId="0" applyNumberFormat="1" applyFont="1" applyFill="1" applyBorder="1" applyAlignment="1">
      <alignment horizontal="center" vertical="center"/>
    </xf>
    <xf numFmtId="3" fontId="14" fillId="4" borderId="2" xfId="0" applyNumberFormat="1" applyFont="1" applyFill="1" applyBorder="1" applyAlignment="1">
      <alignment horizontal="center" vertical="center"/>
    </xf>
    <xf numFmtId="0" fontId="22" fillId="4" borderId="0" xfId="0" applyFont="1" applyFill="1" applyAlignment="1">
      <alignment horizontal="left" vertical="center" indent="1"/>
    </xf>
    <xf numFmtId="0" fontId="28" fillId="3" borderId="0" xfId="0" applyFont="1" applyFill="1" applyAlignment="1">
      <alignment horizontal="left" vertical="center" indent="1"/>
    </xf>
    <xf numFmtId="1" fontId="12" fillId="4" borderId="2" xfId="0" applyNumberFormat="1" applyFont="1" applyFill="1" applyBorder="1" applyAlignment="1">
      <alignment horizontal="center" vertical="center"/>
    </xf>
    <xf numFmtId="3" fontId="13" fillId="2" borderId="2" xfId="0" applyNumberFormat="1" applyFont="1" applyFill="1" applyBorder="1" applyAlignment="1">
      <alignment horizontal="center" vertical="center"/>
    </xf>
    <xf numFmtId="164" fontId="11" fillId="4" borderId="0" xfId="0" applyNumberFormat="1" applyFont="1" applyFill="1" applyAlignment="1">
      <alignment horizontal="right" vertical="center"/>
    </xf>
    <xf numFmtId="0" fontId="8" fillId="3" borderId="0" xfId="0" applyFont="1" applyFill="1" applyAlignment="1">
      <alignment horizontal="left" vertical="center" indent="1"/>
    </xf>
    <xf numFmtId="0" fontId="5" fillId="3" borderId="0" xfId="0" applyFont="1" applyFill="1" applyAlignment="1">
      <alignment horizontal="right" vertical="center"/>
    </xf>
    <xf numFmtId="0" fontId="6" fillId="3" borderId="0" xfId="0" applyFont="1" applyFill="1" applyAlignment="1">
      <alignment horizontal="right" vertical="center"/>
    </xf>
    <xf numFmtId="0" fontId="18" fillId="2" borderId="0" xfId="0" applyFont="1" applyFill="1" applyAlignment="1">
      <alignment horizontal="left" vertical="center"/>
    </xf>
    <xf numFmtId="164" fontId="17" fillId="5" borderId="0" xfId="0" applyNumberFormat="1" applyFont="1" applyFill="1" applyAlignment="1">
      <alignment horizontal="center" vertical="center"/>
    </xf>
    <xf numFmtId="3" fontId="13" fillId="4" borderId="2" xfId="0" applyNumberFormat="1" applyFont="1" applyFill="1" applyBorder="1" applyAlignment="1">
      <alignment horizontal="center" vertical="center"/>
    </xf>
    <xf numFmtId="0" fontId="17" fillId="5" borderId="0" xfId="0" applyFont="1" applyFill="1" applyAlignment="1">
      <alignment horizontal="left" vertical="center" indent="1"/>
    </xf>
    <xf numFmtId="0" fontId="17" fillId="4" borderId="0" xfId="0" applyFont="1" applyFill="1" applyAlignment="1">
      <alignment horizontal="left" vertical="center" indent="1"/>
    </xf>
    <xf numFmtId="164" fontId="13" fillId="2" borderId="2" xfId="0" applyNumberFormat="1" applyFont="1" applyFill="1" applyBorder="1" applyAlignment="1">
      <alignment horizontal="center" vertical="center"/>
    </xf>
    <xf numFmtId="0" fontId="4" fillId="3" borderId="0" xfId="0" applyFont="1" applyFill="1" applyAlignment="1">
      <alignment horizontal="center" vertical="center"/>
    </xf>
    <xf numFmtId="3" fontId="17" fillId="2" borderId="2" xfId="0" applyNumberFormat="1" applyFont="1" applyFill="1" applyBorder="1" applyAlignment="1">
      <alignment horizontal="center" vertical="center"/>
    </xf>
    <xf numFmtId="0" fontId="6" fillId="3" borderId="0" xfId="0" applyFont="1" applyFill="1" applyAlignment="1">
      <alignment horizontal="left" vertical="center" indent="1"/>
    </xf>
    <xf numFmtId="0" fontId="7" fillId="3" borderId="0" xfId="0" applyFont="1" applyFill="1" applyAlignment="1">
      <alignment horizontal="right" vertical="center"/>
    </xf>
    <xf numFmtId="164" fontId="31" fillId="4" borderId="0" xfId="0" applyNumberFormat="1" applyFont="1" applyFill="1" applyAlignment="1">
      <alignment horizontal="center"/>
    </xf>
    <xf numFmtId="0" fontId="0" fillId="4" borderId="0" xfId="0" applyFill="1"/>
    <xf numFmtId="0" fontId="32" fillId="4" borderId="0" xfId="0" applyNumberFormat="1" applyFont="1" applyFill="1" applyAlignment="1">
      <alignment horizontal="center" vertical="top"/>
    </xf>
    <xf numFmtId="3" fontId="33" fillId="4" borderId="0" xfId="0" applyNumberFormat="1" applyFont="1" applyFill="1" applyAlignment="1">
      <alignment horizontal="center" vertical="center"/>
    </xf>
    <xf numFmtId="3" fontId="36" fillId="4" borderId="0" xfId="0" applyNumberFormat="1" applyFont="1" applyFill="1" applyAlignment="1">
      <alignment horizontal="center" vertical="center"/>
    </xf>
    <xf numFmtId="3" fontId="34" fillId="4" borderId="0" xfId="0" applyNumberFormat="1" applyFont="1" applyFill="1" applyAlignment="1">
      <alignment horizontal="center" vertical="center"/>
    </xf>
    <xf numFmtId="0" fontId="35" fillId="4" borderId="0" xfId="0" applyNumberFormat="1" applyFont="1" applyFill="1" applyAlignment="1">
      <alignment horizontal="center" vertical="center"/>
    </xf>
    <xf numFmtId="0" fontId="9" fillId="4" borderId="0" xfId="0" applyFont="1" applyFill="1" applyAlignment="1">
      <alignment horizontal="right" vertical="center" indent="1"/>
    </xf>
    <xf numFmtId="0" fontId="23" fillId="0" borderId="3" xfId="0" applyFont="1" applyBorder="1" applyAlignment="1">
      <alignment vertical="top" wrapText="1"/>
    </xf>
    <xf numFmtId="0" fontId="29" fillId="0" borderId="0" xfId="0" applyFont="1" applyAlignment="1">
      <alignment vertical="top" wrapText="1"/>
    </xf>
  </cellXfs>
  <cellStyles count="5">
    <cellStyle name="Normal" xfId="0" builtinId="0"/>
    <cellStyle name="Normal 2" xfId="1" xr:uid="{00000000-0005-0000-0000-000001000000}"/>
    <cellStyle name="Normal 3" xfId="2" xr:uid="{00000000-0005-0000-0000-000002000000}"/>
    <cellStyle name="Normal 4" xfId="3" xr:uid="{00000000-0005-0000-0000-000003000000}"/>
    <cellStyle name="Normal 5" xfId="4" xr:uid="{00000000-0005-0000-0000-000004000000}"/>
  </cellStyles>
  <dxfs count="72">
    <dxf>
      <font>
        <b/>
        <color rgb="FFE4572E"/>
      </font>
    </dxf>
    <dxf>
      <font>
        <b/>
        <color rgb="FFE3B341"/>
      </font>
    </dxf>
    <dxf>
      <font>
        <b/>
        <color rgb="FF2FBF9B"/>
      </font>
    </dxf>
    <dxf>
      <font>
        <b/>
        <color rgb="FFE4572E"/>
      </font>
    </dxf>
    <dxf>
      <font>
        <b/>
        <color rgb="FFE3B341"/>
      </font>
    </dxf>
    <dxf>
      <font>
        <b/>
        <color rgb="FF2FBF9B"/>
      </font>
    </dxf>
    <dxf>
      <font>
        <b/>
        <color rgb="FFE4572E"/>
      </font>
    </dxf>
    <dxf>
      <font>
        <b/>
        <color rgb="FFE3B341"/>
      </font>
    </dxf>
    <dxf>
      <font>
        <b/>
        <color rgb="FF2FBF9B"/>
      </font>
    </dxf>
    <dxf>
      <font>
        <b/>
        <color rgb="FFE4572E"/>
      </font>
    </dxf>
    <dxf>
      <font>
        <b/>
        <color rgb="FFE3B341"/>
      </font>
    </dxf>
    <dxf>
      <font>
        <b/>
        <color rgb="FF2FBF9B"/>
      </font>
    </dxf>
    <dxf>
      <font>
        <b/>
        <color rgb="FFE4572E"/>
      </font>
    </dxf>
    <dxf>
      <font>
        <b/>
        <color rgb="FFE3B341"/>
      </font>
    </dxf>
    <dxf>
      <font>
        <b/>
        <color rgb="FF2FBF9B"/>
      </font>
    </dxf>
    <dxf>
      <font>
        <b/>
        <color rgb="FFE4572E"/>
      </font>
    </dxf>
    <dxf>
      <font>
        <b/>
        <color rgb="FFE3B341"/>
      </font>
    </dxf>
    <dxf>
      <font>
        <b/>
        <color rgb="FF2FBF9B"/>
      </font>
    </dxf>
    <dxf>
      <font>
        <b/>
        <color rgb="FFE4572E"/>
      </font>
    </dxf>
    <dxf>
      <font>
        <b/>
        <color rgb="FFE3B341"/>
      </font>
    </dxf>
    <dxf>
      <font>
        <b/>
        <color rgb="FF2FBF9B"/>
      </font>
    </dxf>
    <dxf>
      <font>
        <b/>
        <color rgb="FFE4572E"/>
      </font>
    </dxf>
    <dxf>
      <font>
        <b/>
        <color rgb="FFE3B341"/>
      </font>
    </dxf>
    <dxf>
      <font>
        <b/>
        <color rgb="FF2FBF9B"/>
      </font>
    </dxf>
    <dxf>
      <font>
        <b/>
        <color rgb="FFE4572E"/>
      </font>
    </dxf>
    <dxf>
      <font>
        <b/>
        <color rgb="FFE3B341"/>
      </font>
    </dxf>
    <dxf>
      <font>
        <b/>
        <color rgb="FF2FBF9B"/>
      </font>
    </dxf>
    <dxf>
      <font>
        <b/>
        <color rgb="FFE4572E"/>
      </font>
    </dxf>
    <dxf>
      <font>
        <b/>
        <color rgb="FFE3B341"/>
      </font>
    </dxf>
    <dxf>
      <font>
        <b/>
        <color rgb="FF2FBF9B"/>
      </font>
    </dxf>
    <dxf>
      <font>
        <b/>
        <color rgb="FFE4572E"/>
      </font>
    </dxf>
    <dxf>
      <font>
        <b/>
        <color rgb="FFE3B341"/>
      </font>
    </dxf>
    <dxf>
      <font>
        <b/>
        <color rgb="FF2FBF9B"/>
      </font>
    </dxf>
    <dxf>
      <font>
        <b/>
        <color rgb="FFE4572E"/>
      </font>
    </dxf>
    <dxf>
      <font>
        <b/>
        <color rgb="FFE3B341"/>
      </font>
    </dxf>
    <dxf>
      <font>
        <b/>
        <color rgb="FF2FBF9B"/>
      </font>
    </dxf>
    <dxf>
      <font>
        <b/>
        <color rgb="FFE4572E"/>
      </font>
    </dxf>
    <dxf>
      <font>
        <b/>
        <color rgb="FFE3B341"/>
      </font>
    </dxf>
    <dxf>
      <font>
        <b/>
        <color rgb="FF2FBF9B"/>
      </font>
    </dxf>
    <dxf>
      <font>
        <b/>
        <color rgb="FFE4572E"/>
      </font>
    </dxf>
    <dxf>
      <font>
        <b/>
        <color rgb="FFE3B341"/>
      </font>
    </dxf>
    <dxf>
      <font>
        <b/>
        <color rgb="FF2FBF9B"/>
      </font>
    </dxf>
    <dxf>
      <font>
        <b/>
        <color rgb="FFE4572E"/>
      </font>
    </dxf>
    <dxf>
      <font>
        <b/>
        <color rgb="FFE3B341"/>
      </font>
    </dxf>
    <dxf>
      <font>
        <b/>
        <color rgb="FF2FBF9B"/>
      </font>
    </dxf>
    <dxf>
      <font>
        <b/>
        <color rgb="FFE4572E"/>
      </font>
    </dxf>
    <dxf>
      <font>
        <b/>
        <color rgb="FFE3B341"/>
      </font>
    </dxf>
    <dxf>
      <font>
        <b/>
        <color rgb="FF2FBF9B"/>
      </font>
    </dxf>
    <dxf>
      <font>
        <b/>
        <color rgb="FFE4572E"/>
      </font>
    </dxf>
    <dxf>
      <font>
        <b/>
        <color rgb="FFE3B341"/>
      </font>
    </dxf>
    <dxf>
      <font>
        <b/>
        <color rgb="FF2FBF9B"/>
      </font>
    </dxf>
    <dxf>
      <font>
        <b/>
        <sz val="9"/>
        <color rgb="FFE4572E"/>
        <name val="Arial"/>
        <charset val="1"/>
      </font>
    </dxf>
    <dxf>
      <font>
        <b/>
        <sz val="9"/>
        <color rgb="FFE3B341"/>
        <name val="Arial"/>
        <charset val="1"/>
      </font>
    </dxf>
    <dxf>
      <font>
        <b/>
        <sz val="9"/>
        <color rgb="FF2FBF9B"/>
        <name val="Arial"/>
        <charset val="1"/>
      </font>
    </dxf>
    <dxf>
      <font>
        <b/>
        <sz val="9"/>
        <color rgb="FFE4572E"/>
        <name val="Arial"/>
        <charset val="1"/>
      </font>
    </dxf>
    <dxf>
      <font>
        <b/>
        <sz val="9"/>
        <color rgb="FFE3B341"/>
        <name val="Arial"/>
        <charset val="1"/>
      </font>
    </dxf>
    <dxf>
      <font>
        <b/>
        <sz val="9"/>
        <color rgb="FF2FBF9B"/>
        <name val="Arial"/>
        <charset val="1"/>
      </font>
    </dxf>
    <dxf>
      <font>
        <b/>
        <sz val="9"/>
        <color rgb="FFE4572E"/>
        <name val="Arial"/>
        <charset val="1"/>
      </font>
    </dxf>
    <dxf>
      <font>
        <b/>
        <sz val="9"/>
        <color rgb="FFE3B341"/>
        <name val="Arial"/>
        <charset val="1"/>
      </font>
    </dxf>
    <dxf>
      <font>
        <b/>
        <sz val="9"/>
        <color rgb="FF2FBF9B"/>
        <name val="Arial"/>
        <charset val="1"/>
      </font>
    </dxf>
    <dxf>
      <font>
        <b/>
        <sz val="9"/>
        <color rgb="FFE4572E"/>
        <name val="Arial"/>
        <charset val="1"/>
      </font>
    </dxf>
    <dxf>
      <font>
        <b/>
        <sz val="9"/>
        <color rgb="FFE3B341"/>
        <name val="Arial"/>
        <charset val="1"/>
      </font>
    </dxf>
    <dxf>
      <font>
        <b/>
        <sz val="9"/>
        <color rgb="FF2FBF9B"/>
        <name val="Arial"/>
        <charset val="1"/>
      </font>
    </dxf>
    <dxf>
      <font>
        <b/>
        <sz val="9"/>
        <color rgb="FFE4572E"/>
        <name val="Arial"/>
        <charset val="1"/>
      </font>
    </dxf>
    <dxf>
      <font>
        <b/>
        <sz val="9"/>
        <color rgb="FFE3B341"/>
        <name val="Arial"/>
        <charset val="1"/>
      </font>
    </dxf>
    <dxf>
      <font>
        <b/>
        <sz val="9"/>
        <color rgb="FF2FBF9B"/>
        <name val="Arial"/>
        <charset val="1"/>
      </font>
    </dxf>
    <dxf>
      <font>
        <b/>
        <sz val="9"/>
        <color rgb="FFE4572E"/>
        <name val="Arial"/>
        <charset val="1"/>
      </font>
    </dxf>
    <dxf>
      <font>
        <b/>
        <sz val="9"/>
        <color rgb="FFE3B341"/>
        <name val="Arial"/>
        <charset val="1"/>
      </font>
    </dxf>
    <dxf>
      <font>
        <b/>
        <sz val="9"/>
        <color rgb="FF2FBF9B"/>
        <name val="Arial"/>
        <charset val="1"/>
      </font>
    </dxf>
    <dxf>
      <font>
        <b/>
        <sz val="9"/>
        <color rgb="FFE4572E"/>
        <name val="Arial"/>
        <charset val="1"/>
      </font>
    </dxf>
    <dxf>
      <font>
        <b/>
        <sz val="9"/>
        <color rgb="FFE3B341"/>
        <name val="Arial"/>
        <charset val="1"/>
      </font>
    </dxf>
    <dxf>
      <font>
        <b/>
        <sz val="9"/>
        <color rgb="FF2FBF9B"/>
        <name val="Arial"/>
        <charset val="1"/>
      </font>
    </dxf>
  </dxfs>
  <tableStyles count="0" defaultTableStyle="TableStyleMedium2" defaultPivotStyle="PivotStyleLight16"/>
  <colors>
    <indexedColors>
      <rgbColor rgb="FF000000"/>
      <rgbColor rgb="FFFFFFFF"/>
      <rgbColor rgb="FFFF0000"/>
      <rgbColor rgb="FFEAF4D8"/>
      <rgbColor rgb="FF6C7A92"/>
      <rgbColor rgb="FFFFFF00"/>
      <rgbColor rgb="FFFBE0DD"/>
      <rgbColor rgb="FFE2EAF7"/>
      <rgbColor rgb="FF9C0006"/>
      <rgbColor rgb="FF1E6F3C"/>
      <rgbColor rgb="FF08162B"/>
      <rgbColor rgb="FF9A6400"/>
      <rgbColor rgb="FF224674"/>
      <rgbColor rgb="FF1A6B8A"/>
      <rgbColor rgb="FFBEBEBE"/>
      <rgbColor rgb="FF7C84A8"/>
      <rgbColor rgb="FF69A9DA"/>
      <rgbColor rgb="FFC8432A"/>
      <rgbColor rgb="FFFFF2CF"/>
      <rgbColor rgb="FFDFF3E4"/>
      <rgbColor rgb="FF122B4F"/>
      <rgbColor rgb="FFE4572E"/>
      <rgbColor rgb="FF1F4E78"/>
      <rgbColor rgb="FFCBD5E0"/>
      <rgbColor rgb="FF132845"/>
      <rgbColor rgb="FFE8ECF1"/>
      <rgbColor rgb="FFFFC000"/>
      <rgbColor rgb="FFE2EAF7"/>
      <rgbColor rgb="FF4F5A5F"/>
      <rgbColor rgb="FF275317"/>
      <rgbColor rgb="FF4C7A1E"/>
      <rgbColor rgb="FFFBF8E9"/>
      <rgbColor rgb="FF42D277"/>
      <rgbColor rgb="FFEDF2F7"/>
      <rgbColor rgb="FFC2F1C8"/>
      <rgbColor rgb="FFFFEB9C"/>
      <rgbColor rgb="FFA6CAEC"/>
      <rgbColor rgb="FFFFC7CE"/>
      <rgbColor rgb="FFBDCBE3"/>
      <rgbColor rgb="FFF1D4AD"/>
      <rgbColor rgb="FF2E75B6"/>
      <rgbColor rgb="FF4CC3D9"/>
      <rgbColor rgb="FFDEC000"/>
      <rgbColor rgb="FFFFCC00"/>
      <rgbColor rgb="FFD98E0C"/>
      <rgbColor rgb="FFE3B341"/>
      <rgbColor rgb="FF6C7A92"/>
      <rgbColor rgb="FF9FB3D1"/>
      <rgbColor rgb="FF193963"/>
      <rgbColor rgb="FF1F8A7A"/>
      <rgbColor rgb="FF0D1F3C"/>
      <rgbColor rgb="FF1A1A1A"/>
      <rgbColor rgb="FFB02418"/>
      <rgbColor rgb="FF9C5700"/>
      <rgbColor rgb="FF24425C"/>
      <rgbColor rgb="FF1E3B6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04"/>
          <c:w val="1"/>
          <c:h val="0.92"/>
        </c:manualLayout>
      </c:layout>
      <c:doughnutChart>
        <c:varyColors val="1"/>
        <c:ser>
          <c:idx val="0"/>
          <c:order val="0"/>
          <c:tx>
            <c:v>Needle</c:v>
          </c:tx>
          <c:dPt>
            <c:idx val="0"/>
            <c:bubble3D val="0"/>
            <c:spPr>
              <a:solidFill>
                <a:srgbClr val="224674"/>
              </a:solidFill>
              <a:ln w="19050">
                <a:solidFill>
                  <a:srgbClr val="122B4F"/>
                </a:solidFill>
              </a:ln>
            </c:spPr>
            <c:extLst>
              <c:ext xmlns:c16="http://schemas.microsoft.com/office/drawing/2014/chart" uri="{C3380CC4-5D6E-409C-BE32-E72D297353CC}">
                <c16:uniqueId val="{00000001-DEDF-468F-85EC-63EE6E508DF0}"/>
              </c:ext>
            </c:extLst>
          </c:dPt>
          <c:dPt>
            <c:idx val="1"/>
            <c:bubble3D val="0"/>
            <c:spPr>
              <a:solidFill>
                <a:srgbClr val="F4F7FC"/>
              </a:solidFill>
              <a:ln w="19050">
                <a:solidFill>
                  <a:srgbClr val="122B4F"/>
                </a:solidFill>
              </a:ln>
            </c:spPr>
            <c:extLst>
              <c:ext xmlns:c16="http://schemas.microsoft.com/office/drawing/2014/chart" uri="{C3380CC4-5D6E-409C-BE32-E72D297353CC}">
                <c16:uniqueId val="{00000003-DEDF-468F-85EC-63EE6E508DF0}"/>
              </c:ext>
            </c:extLst>
          </c:dPt>
          <c:dPt>
            <c:idx val="2"/>
            <c:bubble3D val="0"/>
            <c:spPr>
              <a:solidFill>
                <a:srgbClr val="224674"/>
              </a:solidFill>
              <a:ln w="19050">
                <a:solidFill>
                  <a:srgbClr val="122B4F"/>
                </a:solidFill>
              </a:ln>
            </c:spPr>
            <c:extLst>
              <c:ext xmlns:c16="http://schemas.microsoft.com/office/drawing/2014/chart" uri="{C3380CC4-5D6E-409C-BE32-E72D297353CC}">
                <c16:uniqueId val="{00000005-DEDF-468F-85EC-63EE6E508DF0}"/>
              </c:ext>
            </c:extLst>
          </c:dPt>
          <c:dPt>
            <c:idx val="3"/>
            <c:bubble3D val="0"/>
            <c:spPr>
              <a:noFill/>
              <a:ln>
                <a:noFill/>
              </a:ln>
            </c:spPr>
            <c:extLst>
              <c:ext xmlns:c16="http://schemas.microsoft.com/office/drawing/2014/chart" uri="{C3380CC4-5D6E-409C-BE32-E72D297353CC}">
                <c16:uniqueId val="{00000007-DEDF-468F-85EC-63EE6E508DF0}"/>
              </c:ext>
            </c:extLst>
          </c:dPt>
          <c:val>
            <c:numRef>
              <c:f>'KPI Engine (Final)'!$C$208:$F$208</c:f>
              <c:numCache>
                <c:formatCode>General</c:formatCode>
                <c:ptCount val="4"/>
                <c:pt idx="0" formatCode="0.00">
                  <c:v>88.735486211901318</c:v>
                </c:pt>
                <c:pt idx="1">
                  <c:v>2.5</c:v>
                </c:pt>
                <c:pt idx="2" formatCode="0.00">
                  <c:v>8.7645137880986823</c:v>
                </c:pt>
                <c:pt idx="3">
                  <c:v>100</c:v>
                </c:pt>
              </c:numCache>
            </c:numRef>
          </c:val>
          <c:extLst>
            <c:ext xmlns:c16="http://schemas.microsoft.com/office/drawing/2014/chart" uri="{C3380CC4-5D6E-409C-BE32-E72D297353CC}">
              <c16:uniqueId val="{00000008-DEDF-468F-85EC-63EE6E508DF0}"/>
            </c:ext>
          </c:extLst>
        </c:ser>
        <c:ser>
          <c:idx val="1"/>
          <c:order val="1"/>
          <c:tx>
            <c:v>Dial zones</c:v>
          </c:tx>
          <c:dPt>
            <c:idx val="0"/>
            <c:bubble3D val="0"/>
            <c:spPr>
              <a:solidFill>
                <a:srgbClr val="E4572E"/>
              </a:solidFill>
              <a:ln w="19050">
                <a:solidFill>
                  <a:srgbClr val="122B4F"/>
                </a:solidFill>
              </a:ln>
            </c:spPr>
            <c:extLst>
              <c:ext xmlns:c16="http://schemas.microsoft.com/office/drawing/2014/chart" uri="{C3380CC4-5D6E-409C-BE32-E72D297353CC}">
                <c16:uniqueId val="{0000000A-DEDF-468F-85EC-63EE6E508DF0}"/>
              </c:ext>
            </c:extLst>
          </c:dPt>
          <c:dPt>
            <c:idx val="1"/>
            <c:bubble3D val="0"/>
            <c:spPr>
              <a:solidFill>
                <a:srgbClr val="E3B341"/>
              </a:solidFill>
              <a:ln w="19050">
                <a:solidFill>
                  <a:srgbClr val="122B4F"/>
                </a:solidFill>
              </a:ln>
            </c:spPr>
            <c:extLst>
              <c:ext xmlns:c16="http://schemas.microsoft.com/office/drawing/2014/chart" uri="{C3380CC4-5D6E-409C-BE32-E72D297353CC}">
                <c16:uniqueId val="{0000000C-DEDF-468F-85EC-63EE6E508DF0}"/>
              </c:ext>
            </c:extLst>
          </c:dPt>
          <c:dPt>
            <c:idx val="2"/>
            <c:bubble3D val="0"/>
            <c:spPr>
              <a:solidFill>
                <a:srgbClr val="2FBF9B"/>
              </a:solidFill>
              <a:ln w="19050">
                <a:solidFill>
                  <a:srgbClr val="122B4F"/>
                </a:solidFill>
              </a:ln>
            </c:spPr>
            <c:extLst>
              <c:ext xmlns:c16="http://schemas.microsoft.com/office/drawing/2014/chart" uri="{C3380CC4-5D6E-409C-BE32-E72D297353CC}">
                <c16:uniqueId val="{0000000E-DEDF-468F-85EC-63EE6E508DF0}"/>
              </c:ext>
            </c:extLst>
          </c:dPt>
          <c:dPt>
            <c:idx val="3"/>
            <c:bubble3D val="0"/>
            <c:spPr>
              <a:noFill/>
              <a:ln>
                <a:noFill/>
              </a:ln>
            </c:spPr>
            <c:extLst>
              <c:ext xmlns:c16="http://schemas.microsoft.com/office/drawing/2014/chart" uri="{C3380CC4-5D6E-409C-BE32-E72D297353CC}">
                <c16:uniqueId val="{00000010-DEDF-468F-85EC-63EE6E508DF0}"/>
              </c:ext>
            </c:extLst>
          </c:dPt>
          <c:val>
            <c:numRef>
              <c:f>'KPI Engine (Final)'!$B$205:$E$205</c:f>
              <c:numCache>
                <c:formatCode>General</c:formatCode>
                <c:ptCount val="4"/>
                <c:pt idx="0">
                  <c:v>75</c:v>
                </c:pt>
                <c:pt idx="1">
                  <c:v>15</c:v>
                </c:pt>
                <c:pt idx="2">
                  <c:v>10</c:v>
                </c:pt>
                <c:pt idx="3">
                  <c:v>100</c:v>
                </c:pt>
              </c:numCache>
            </c:numRef>
          </c:val>
          <c:extLst>
            <c:ext xmlns:c16="http://schemas.microsoft.com/office/drawing/2014/chart" uri="{C3380CC4-5D6E-409C-BE32-E72D297353CC}">
              <c16:uniqueId val="{00000011-DEDF-468F-85EC-63EE6E508DF0}"/>
            </c:ext>
          </c:extLst>
        </c:ser>
        <c:dLbls>
          <c:showLegendKey val="0"/>
          <c:showVal val="0"/>
          <c:showCatName val="0"/>
          <c:showSerName val="0"/>
          <c:showPercent val="0"/>
          <c:showBubbleSize val="0"/>
          <c:showLeaderLines val="0"/>
        </c:dLbls>
        <c:firstSliceAng val="270"/>
        <c:holeSize val="66"/>
      </c:doughnutChart>
      <c:spPr>
        <a:noFill/>
        <a:ln>
          <a:noFill/>
        </a:ln>
      </c:spPr>
    </c:plotArea>
    <c:plotVisOnly val="1"/>
    <c:dispBlanksAs val="gap"/>
    <c:showDLblsOverMax val="1"/>
  </c:chart>
  <c:spPr>
    <a:no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04"/>
          <c:w val="1"/>
          <c:h val="0.92"/>
        </c:manualLayout>
      </c:layout>
      <c:doughnutChart>
        <c:varyColors val="1"/>
        <c:ser>
          <c:idx val="0"/>
          <c:order val="0"/>
          <c:tx>
            <c:v>Needle</c:v>
          </c:tx>
          <c:dPt>
            <c:idx val="0"/>
            <c:bubble3D val="0"/>
            <c:spPr>
              <a:solidFill>
                <a:srgbClr val="224674"/>
              </a:solidFill>
              <a:ln w="19050">
                <a:solidFill>
                  <a:srgbClr val="122B4F"/>
                </a:solidFill>
              </a:ln>
            </c:spPr>
            <c:extLst>
              <c:ext xmlns:c16="http://schemas.microsoft.com/office/drawing/2014/chart" uri="{C3380CC4-5D6E-409C-BE32-E72D297353CC}">
                <c16:uniqueId val="{00000001-B98F-4C6A-BE87-79C756A60D9B}"/>
              </c:ext>
            </c:extLst>
          </c:dPt>
          <c:dPt>
            <c:idx val="1"/>
            <c:bubble3D val="0"/>
            <c:spPr>
              <a:solidFill>
                <a:srgbClr val="F4F7FC"/>
              </a:solidFill>
              <a:ln w="19050">
                <a:solidFill>
                  <a:srgbClr val="122B4F"/>
                </a:solidFill>
              </a:ln>
            </c:spPr>
            <c:extLst>
              <c:ext xmlns:c16="http://schemas.microsoft.com/office/drawing/2014/chart" uri="{C3380CC4-5D6E-409C-BE32-E72D297353CC}">
                <c16:uniqueId val="{00000003-B98F-4C6A-BE87-79C756A60D9B}"/>
              </c:ext>
            </c:extLst>
          </c:dPt>
          <c:dPt>
            <c:idx val="2"/>
            <c:bubble3D val="0"/>
            <c:spPr>
              <a:solidFill>
                <a:srgbClr val="224674"/>
              </a:solidFill>
              <a:ln w="19050">
                <a:solidFill>
                  <a:srgbClr val="122B4F"/>
                </a:solidFill>
              </a:ln>
            </c:spPr>
            <c:extLst>
              <c:ext xmlns:c16="http://schemas.microsoft.com/office/drawing/2014/chart" uri="{C3380CC4-5D6E-409C-BE32-E72D297353CC}">
                <c16:uniqueId val="{00000005-B98F-4C6A-BE87-79C756A60D9B}"/>
              </c:ext>
            </c:extLst>
          </c:dPt>
          <c:dPt>
            <c:idx val="3"/>
            <c:bubble3D val="0"/>
            <c:spPr>
              <a:noFill/>
              <a:ln>
                <a:noFill/>
              </a:ln>
            </c:spPr>
            <c:extLst>
              <c:ext xmlns:c16="http://schemas.microsoft.com/office/drawing/2014/chart" uri="{C3380CC4-5D6E-409C-BE32-E72D297353CC}">
                <c16:uniqueId val="{00000007-B98F-4C6A-BE87-79C756A60D9B}"/>
              </c:ext>
            </c:extLst>
          </c:dPt>
          <c:val>
            <c:numRef>
              <c:f>'KPI Engine (Final)'!$C$209:$F$209</c:f>
              <c:numCache>
                <c:formatCode>General</c:formatCode>
                <c:ptCount val="4"/>
                <c:pt idx="0" formatCode="0.00">
                  <c:v>93.568652849740943</c:v>
                </c:pt>
                <c:pt idx="1">
                  <c:v>2.5</c:v>
                </c:pt>
                <c:pt idx="2" formatCode="0.00">
                  <c:v>3.9313471502590573</c:v>
                </c:pt>
                <c:pt idx="3">
                  <c:v>100</c:v>
                </c:pt>
              </c:numCache>
            </c:numRef>
          </c:val>
          <c:extLst>
            <c:ext xmlns:c16="http://schemas.microsoft.com/office/drawing/2014/chart" uri="{C3380CC4-5D6E-409C-BE32-E72D297353CC}">
              <c16:uniqueId val="{00000008-B98F-4C6A-BE87-79C756A60D9B}"/>
            </c:ext>
          </c:extLst>
        </c:ser>
        <c:ser>
          <c:idx val="1"/>
          <c:order val="1"/>
          <c:tx>
            <c:v>Dial zones</c:v>
          </c:tx>
          <c:dPt>
            <c:idx val="0"/>
            <c:bubble3D val="0"/>
            <c:spPr>
              <a:solidFill>
                <a:srgbClr val="E4572E"/>
              </a:solidFill>
              <a:ln w="19050">
                <a:solidFill>
                  <a:srgbClr val="122B4F"/>
                </a:solidFill>
              </a:ln>
            </c:spPr>
            <c:extLst>
              <c:ext xmlns:c16="http://schemas.microsoft.com/office/drawing/2014/chart" uri="{C3380CC4-5D6E-409C-BE32-E72D297353CC}">
                <c16:uniqueId val="{0000000A-B98F-4C6A-BE87-79C756A60D9B}"/>
              </c:ext>
            </c:extLst>
          </c:dPt>
          <c:dPt>
            <c:idx val="1"/>
            <c:bubble3D val="0"/>
            <c:spPr>
              <a:solidFill>
                <a:srgbClr val="E3B341"/>
              </a:solidFill>
              <a:ln w="19050">
                <a:solidFill>
                  <a:srgbClr val="122B4F"/>
                </a:solidFill>
              </a:ln>
            </c:spPr>
            <c:extLst>
              <c:ext xmlns:c16="http://schemas.microsoft.com/office/drawing/2014/chart" uri="{C3380CC4-5D6E-409C-BE32-E72D297353CC}">
                <c16:uniqueId val="{0000000C-B98F-4C6A-BE87-79C756A60D9B}"/>
              </c:ext>
            </c:extLst>
          </c:dPt>
          <c:dPt>
            <c:idx val="2"/>
            <c:bubble3D val="0"/>
            <c:spPr>
              <a:solidFill>
                <a:srgbClr val="2FBF9B"/>
              </a:solidFill>
              <a:ln w="19050">
                <a:solidFill>
                  <a:srgbClr val="122B4F"/>
                </a:solidFill>
              </a:ln>
            </c:spPr>
            <c:extLst>
              <c:ext xmlns:c16="http://schemas.microsoft.com/office/drawing/2014/chart" uri="{C3380CC4-5D6E-409C-BE32-E72D297353CC}">
                <c16:uniqueId val="{0000000E-B98F-4C6A-BE87-79C756A60D9B}"/>
              </c:ext>
            </c:extLst>
          </c:dPt>
          <c:dPt>
            <c:idx val="3"/>
            <c:bubble3D val="0"/>
            <c:spPr>
              <a:noFill/>
              <a:ln>
                <a:noFill/>
              </a:ln>
            </c:spPr>
            <c:extLst>
              <c:ext xmlns:c16="http://schemas.microsoft.com/office/drawing/2014/chart" uri="{C3380CC4-5D6E-409C-BE32-E72D297353CC}">
                <c16:uniqueId val="{00000010-B98F-4C6A-BE87-79C756A60D9B}"/>
              </c:ext>
            </c:extLst>
          </c:dPt>
          <c:val>
            <c:numRef>
              <c:f>'KPI Engine (Final)'!$B$205:$E$205</c:f>
              <c:numCache>
                <c:formatCode>General</c:formatCode>
                <c:ptCount val="4"/>
                <c:pt idx="0">
                  <c:v>75</c:v>
                </c:pt>
                <c:pt idx="1">
                  <c:v>15</c:v>
                </c:pt>
                <c:pt idx="2">
                  <c:v>10</c:v>
                </c:pt>
                <c:pt idx="3">
                  <c:v>100</c:v>
                </c:pt>
              </c:numCache>
            </c:numRef>
          </c:val>
          <c:extLst>
            <c:ext xmlns:c16="http://schemas.microsoft.com/office/drawing/2014/chart" uri="{C3380CC4-5D6E-409C-BE32-E72D297353CC}">
              <c16:uniqueId val="{00000011-B98F-4C6A-BE87-79C756A60D9B}"/>
            </c:ext>
          </c:extLst>
        </c:ser>
        <c:dLbls>
          <c:showLegendKey val="0"/>
          <c:showVal val="0"/>
          <c:showCatName val="0"/>
          <c:showSerName val="0"/>
          <c:showPercent val="0"/>
          <c:showBubbleSize val="0"/>
          <c:showLeaderLines val="0"/>
        </c:dLbls>
        <c:firstSliceAng val="270"/>
        <c:holeSize val="66"/>
      </c:doughnutChart>
      <c:spPr>
        <a:noFill/>
        <a:ln>
          <a:noFill/>
        </a:ln>
      </c:spPr>
    </c:plotArea>
    <c:plotVisOnly val="1"/>
    <c:dispBlanksAs val="gap"/>
    <c:showDLblsOverMax val="1"/>
  </c:chart>
  <c:spPr>
    <a:no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04"/>
          <c:w val="1"/>
          <c:h val="0.92"/>
        </c:manualLayout>
      </c:layout>
      <c:doughnutChart>
        <c:varyColors val="1"/>
        <c:ser>
          <c:idx val="0"/>
          <c:order val="0"/>
          <c:tx>
            <c:v>Needle</c:v>
          </c:tx>
          <c:dPt>
            <c:idx val="0"/>
            <c:bubble3D val="0"/>
            <c:spPr>
              <a:solidFill>
                <a:srgbClr val="224674"/>
              </a:solidFill>
              <a:ln w="19050">
                <a:solidFill>
                  <a:srgbClr val="122B4F"/>
                </a:solidFill>
              </a:ln>
            </c:spPr>
            <c:extLst>
              <c:ext xmlns:c16="http://schemas.microsoft.com/office/drawing/2014/chart" uri="{C3380CC4-5D6E-409C-BE32-E72D297353CC}">
                <c16:uniqueId val="{00000001-A16F-43F0-BB2C-36FE2BA0A1E0}"/>
              </c:ext>
            </c:extLst>
          </c:dPt>
          <c:dPt>
            <c:idx val="1"/>
            <c:bubble3D val="0"/>
            <c:spPr>
              <a:solidFill>
                <a:srgbClr val="F4F7FC"/>
              </a:solidFill>
              <a:ln w="19050">
                <a:solidFill>
                  <a:srgbClr val="122B4F"/>
                </a:solidFill>
              </a:ln>
            </c:spPr>
            <c:extLst>
              <c:ext xmlns:c16="http://schemas.microsoft.com/office/drawing/2014/chart" uri="{C3380CC4-5D6E-409C-BE32-E72D297353CC}">
                <c16:uniqueId val="{00000003-A16F-43F0-BB2C-36FE2BA0A1E0}"/>
              </c:ext>
            </c:extLst>
          </c:dPt>
          <c:dPt>
            <c:idx val="2"/>
            <c:bubble3D val="0"/>
            <c:spPr>
              <a:solidFill>
                <a:srgbClr val="224674"/>
              </a:solidFill>
              <a:ln w="19050">
                <a:solidFill>
                  <a:srgbClr val="122B4F"/>
                </a:solidFill>
              </a:ln>
            </c:spPr>
            <c:extLst>
              <c:ext xmlns:c16="http://schemas.microsoft.com/office/drawing/2014/chart" uri="{C3380CC4-5D6E-409C-BE32-E72D297353CC}">
                <c16:uniqueId val="{00000005-A16F-43F0-BB2C-36FE2BA0A1E0}"/>
              </c:ext>
            </c:extLst>
          </c:dPt>
          <c:dPt>
            <c:idx val="3"/>
            <c:bubble3D val="0"/>
            <c:spPr>
              <a:noFill/>
              <a:ln>
                <a:noFill/>
              </a:ln>
            </c:spPr>
            <c:extLst>
              <c:ext xmlns:c16="http://schemas.microsoft.com/office/drawing/2014/chart" uri="{C3380CC4-5D6E-409C-BE32-E72D297353CC}">
                <c16:uniqueId val="{00000007-A16F-43F0-BB2C-36FE2BA0A1E0}"/>
              </c:ext>
            </c:extLst>
          </c:dPt>
          <c:val>
            <c:numRef>
              <c:f>'KPI Engine (Final)'!$C$210:$F$210</c:f>
              <c:numCache>
                <c:formatCode>General</c:formatCode>
                <c:ptCount val="4"/>
                <c:pt idx="0" formatCode="0.00">
                  <c:v>88.006198347107443</c:v>
                </c:pt>
                <c:pt idx="1">
                  <c:v>2.5</c:v>
                </c:pt>
                <c:pt idx="2" formatCode="0.00">
                  <c:v>9.4938016528925573</c:v>
                </c:pt>
                <c:pt idx="3">
                  <c:v>100</c:v>
                </c:pt>
              </c:numCache>
            </c:numRef>
          </c:val>
          <c:extLst>
            <c:ext xmlns:c16="http://schemas.microsoft.com/office/drawing/2014/chart" uri="{C3380CC4-5D6E-409C-BE32-E72D297353CC}">
              <c16:uniqueId val="{00000008-A16F-43F0-BB2C-36FE2BA0A1E0}"/>
            </c:ext>
          </c:extLst>
        </c:ser>
        <c:ser>
          <c:idx val="1"/>
          <c:order val="1"/>
          <c:tx>
            <c:v>Dial zones</c:v>
          </c:tx>
          <c:dPt>
            <c:idx val="0"/>
            <c:bubble3D val="0"/>
            <c:spPr>
              <a:solidFill>
                <a:srgbClr val="E4572E"/>
              </a:solidFill>
              <a:ln w="19050">
                <a:solidFill>
                  <a:srgbClr val="122B4F"/>
                </a:solidFill>
              </a:ln>
            </c:spPr>
            <c:extLst>
              <c:ext xmlns:c16="http://schemas.microsoft.com/office/drawing/2014/chart" uri="{C3380CC4-5D6E-409C-BE32-E72D297353CC}">
                <c16:uniqueId val="{0000000A-A16F-43F0-BB2C-36FE2BA0A1E0}"/>
              </c:ext>
            </c:extLst>
          </c:dPt>
          <c:dPt>
            <c:idx val="1"/>
            <c:bubble3D val="0"/>
            <c:spPr>
              <a:solidFill>
                <a:srgbClr val="E3B341"/>
              </a:solidFill>
              <a:ln w="19050">
                <a:solidFill>
                  <a:srgbClr val="122B4F"/>
                </a:solidFill>
              </a:ln>
            </c:spPr>
            <c:extLst>
              <c:ext xmlns:c16="http://schemas.microsoft.com/office/drawing/2014/chart" uri="{C3380CC4-5D6E-409C-BE32-E72D297353CC}">
                <c16:uniqueId val="{0000000C-A16F-43F0-BB2C-36FE2BA0A1E0}"/>
              </c:ext>
            </c:extLst>
          </c:dPt>
          <c:dPt>
            <c:idx val="2"/>
            <c:bubble3D val="0"/>
            <c:spPr>
              <a:solidFill>
                <a:srgbClr val="2FBF9B"/>
              </a:solidFill>
              <a:ln w="19050">
                <a:solidFill>
                  <a:srgbClr val="122B4F"/>
                </a:solidFill>
              </a:ln>
            </c:spPr>
            <c:extLst>
              <c:ext xmlns:c16="http://schemas.microsoft.com/office/drawing/2014/chart" uri="{C3380CC4-5D6E-409C-BE32-E72D297353CC}">
                <c16:uniqueId val="{0000000E-A16F-43F0-BB2C-36FE2BA0A1E0}"/>
              </c:ext>
            </c:extLst>
          </c:dPt>
          <c:dPt>
            <c:idx val="3"/>
            <c:bubble3D val="0"/>
            <c:spPr>
              <a:noFill/>
              <a:ln>
                <a:noFill/>
              </a:ln>
            </c:spPr>
            <c:extLst>
              <c:ext xmlns:c16="http://schemas.microsoft.com/office/drawing/2014/chart" uri="{C3380CC4-5D6E-409C-BE32-E72D297353CC}">
                <c16:uniqueId val="{00000010-A16F-43F0-BB2C-36FE2BA0A1E0}"/>
              </c:ext>
            </c:extLst>
          </c:dPt>
          <c:val>
            <c:numRef>
              <c:f>'KPI Engine (Final)'!$B$205:$E$205</c:f>
              <c:numCache>
                <c:formatCode>General</c:formatCode>
                <c:ptCount val="4"/>
                <c:pt idx="0">
                  <c:v>75</c:v>
                </c:pt>
                <c:pt idx="1">
                  <c:v>15</c:v>
                </c:pt>
                <c:pt idx="2">
                  <c:v>10</c:v>
                </c:pt>
                <c:pt idx="3">
                  <c:v>100</c:v>
                </c:pt>
              </c:numCache>
            </c:numRef>
          </c:val>
          <c:extLst>
            <c:ext xmlns:c16="http://schemas.microsoft.com/office/drawing/2014/chart" uri="{C3380CC4-5D6E-409C-BE32-E72D297353CC}">
              <c16:uniqueId val="{00000011-A16F-43F0-BB2C-36FE2BA0A1E0}"/>
            </c:ext>
          </c:extLst>
        </c:ser>
        <c:dLbls>
          <c:showLegendKey val="0"/>
          <c:showVal val="0"/>
          <c:showCatName val="0"/>
          <c:showSerName val="0"/>
          <c:showPercent val="0"/>
          <c:showBubbleSize val="0"/>
          <c:showLeaderLines val="0"/>
        </c:dLbls>
        <c:firstSliceAng val="270"/>
        <c:holeSize val="66"/>
      </c:doughnutChart>
      <c:spPr>
        <a:noFill/>
        <a:ln>
          <a:noFill/>
        </a:ln>
      </c:spPr>
    </c:plotArea>
    <c:plotVisOnly val="1"/>
    <c:dispBlanksAs val="gap"/>
    <c:showDLblsOverMax val="1"/>
  </c:chart>
  <c:spPr>
    <a:no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04"/>
          <c:w val="1"/>
          <c:h val="0.92"/>
        </c:manualLayout>
      </c:layout>
      <c:doughnutChart>
        <c:varyColors val="1"/>
        <c:ser>
          <c:idx val="0"/>
          <c:order val="0"/>
          <c:tx>
            <c:v>Needle</c:v>
          </c:tx>
          <c:dPt>
            <c:idx val="0"/>
            <c:bubble3D val="0"/>
            <c:spPr>
              <a:solidFill>
                <a:srgbClr val="224674"/>
              </a:solidFill>
              <a:ln w="19050">
                <a:solidFill>
                  <a:srgbClr val="122B4F"/>
                </a:solidFill>
              </a:ln>
            </c:spPr>
            <c:extLst>
              <c:ext xmlns:c16="http://schemas.microsoft.com/office/drawing/2014/chart" uri="{C3380CC4-5D6E-409C-BE32-E72D297353CC}">
                <c16:uniqueId val="{00000001-DA74-4254-B9CB-20E682FEEBAB}"/>
              </c:ext>
            </c:extLst>
          </c:dPt>
          <c:dPt>
            <c:idx val="1"/>
            <c:bubble3D val="0"/>
            <c:spPr>
              <a:solidFill>
                <a:srgbClr val="F4F7FC"/>
              </a:solidFill>
              <a:ln w="19050">
                <a:solidFill>
                  <a:srgbClr val="122B4F"/>
                </a:solidFill>
              </a:ln>
            </c:spPr>
            <c:extLst>
              <c:ext xmlns:c16="http://schemas.microsoft.com/office/drawing/2014/chart" uri="{C3380CC4-5D6E-409C-BE32-E72D297353CC}">
                <c16:uniqueId val="{00000003-DA74-4254-B9CB-20E682FEEBAB}"/>
              </c:ext>
            </c:extLst>
          </c:dPt>
          <c:dPt>
            <c:idx val="2"/>
            <c:bubble3D val="0"/>
            <c:spPr>
              <a:solidFill>
                <a:srgbClr val="224674"/>
              </a:solidFill>
              <a:ln w="19050">
                <a:solidFill>
                  <a:srgbClr val="122B4F"/>
                </a:solidFill>
              </a:ln>
            </c:spPr>
            <c:extLst>
              <c:ext xmlns:c16="http://schemas.microsoft.com/office/drawing/2014/chart" uri="{C3380CC4-5D6E-409C-BE32-E72D297353CC}">
                <c16:uniqueId val="{00000005-DA74-4254-B9CB-20E682FEEBAB}"/>
              </c:ext>
            </c:extLst>
          </c:dPt>
          <c:dPt>
            <c:idx val="3"/>
            <c:bubble3D val="0"/>
            <c:spPr>
              <a:noFill/>
              <a:ln>
                <a:noFill/>
              </a:ln>
            </c:spPr>
            <c:extLst>
              <c:ext xmlns:c16="http://schemas.microsoft.com/office/drawing/2014/chart" uri="{C3380CC4-5D6E-409C-BE32-E72D297353CC}">
                <c16:uniqueId val="{00000007-DA74-4254-B9CB-20E682FEEBAB}"/>
              </c:ext>
            </c:extLst>
          </c:dPt>
          <c:val>
            <c:numRef>
              <c:f>'KPI Engine (Final)'!$C$211:$F$211</c:f>
              <c:numCache>
                <c:formatCode>General</c:formatCode>
                <c:ptCount val="4"/>
                <c:pt idx="0" formatCode="0.00">
                  <c:v>91.122881355932208</c:v>
                </c:pt>
                <c:pt idx="1">
                  <c:v>2.5</c:v>
                </c:pt>
                <c:pt idx="2" formatCode="0.00">
                  <c:v>6.3771186440677923</c:v>
                </c:pt>
                <c:pt idx="3">
                  <c:v>100</c:v>
                </c:pt>
              </c:numCache>
            </c:numRef>
          </c:val>
          <c:extLst>
            <c:ext xmlns:c16="http://schemas.microsoft.com/office/drawing/2014/chart" uri="{C3380CC4-5D6E-409C-BE32-E72D297353CC}">
              <c16:uniqueId val="{00000008-DA74-4254-B9CB-20E682FEEBAB}"/>
            </c:ext>
          </c:extLst>
        </c:ser>
        <c:ser>
          <c:idx val="1"/>
          <c:order val="1"/>
          <c:tx>
            <c:v>Dial zones</c:v>
          </c:tx>
          <c:dPt>
            <c:idx val="0"/>
            <c:bubble3D val="0"/>
            <c:spPr>
              <a:solidFill>
                <a:srgbClr val="E4572E"/>
              </a:solidFill>
              <a:ln w="19050">
                <a:solidFill>
                  <a:srgbClr val="122B4F"/>
                </a:solidFill>
              </a:ln>
            </c:spPr>
            <c:extLst>
              <c:ext xmlns:c16="http://schemas.microsoft.com/office/drawing/2014/chart" uri="{C3380CC4-5D6E-409C-BE32-E72D297353CC}">
                <c16:uniqueId val="{0000000A-DA74-4254-B9CB-20E682FEEBAB}"/>
              </c:ext>
            </c:extLst>
          </c:dPt>
          <c:dPt>
            <c:idx val="1"/>
            <c:bubble3D val="0"/>
            <c:spPr>
              <a:solidFill>
                <a:srgbClr val="E3B341"/>
              </a:solidFill>
              <a:ln w="19050">
                <a:solidFill>
                  <a:srgbClr val="122B4F"/>
                </a:solidFill>
              </a:ln>
            </c:spPr>
            <c:extLst>
              <c:ext xmlns:c16="http://schemas.microsoft.com/office/drawing/2014/chart" uri="{C3380CC4-5D6E-409C-BE32-E72D297353CC}">
                <c16:uniqueId val="{0000000C-DA74-4254-B9CB-20E682FEEBAB}"/>
              </c:ext>
            </c:extLst>
          </c:dPt>
          <c:dPt>
            <c:idx val="2"/>
            <c:bubble3D val="0"/>
            <c:spPr>
              <a:solidFill>
                <a:srgbClr val="2FBF9B"/>
              </a:solidFill>
              <a:ln w="19050">
                <a:solidFill>
                  <a:srgbClr val="122B4F"/>
                </a:solidFill>
              </a:ln>
            </c:spPr>
            <c:extLst>
              <c:ext xmlns:c16="http://schemas.microsoft.com/office/drawing/2014/chart" uri="{C3380CC4-5D6E-409C-BE32-E72D297353CC}">
                <c16:uniqueId val="{0000000E-DA74-4254-B9CB-20E682FEEBAB}"/>
              </c:ext>
            </c:extLst>
          </c:dPt>
          <c:dPt>
            <c:idx val="3"/>
            <c:bubble3D val="0"/>
            <c:spPr>
              <a:noFill/>
              <a:ln>
                <a:noFill/>
              </a:ln>
            </c:spPr>
            <c:extLst>
              <c:ext xmlns:c16="http://schemas.microsoft.com/office/drawing/2014/chart" uri="{C3380CC4-5D6E-409C-BE32-E72D297353CC}">
                <c16:uniqueId val="{00000010-DA74-4254-B9CB-20E682FEEBAB}"/>
              </c:ext>
            </c:extLst>
          </c:dPt>
          <c:val>
            <c:numRef>
              <c:f>'KPI Engine (Final)'!$B$205:$E$205</c:f>
              <c:numCache>
                <c:formatCode>General</c:formatCode>
                <c:ptCount val="4"/>
                <c:pt idx="0">
                  <c:v>75</c:v>
                </c:pt>
                <c:pt idx="1">
                  <c:v>15</c:v>
                </c:pt>
                <c:pt idx="2">
                  <c:v>10</c:v>
                </c:pt>
                <c:pt idx="3">
                  <c:v>100</c:v>
                </c:pt>
              </c:numCache>
            </c:numRef>
          </c:val>
          <c:extLst>
            <c:ext xmlns:c16="http://schemas.microsoft.com/office/drawing/2014/chart" uri="{C3380CC4-5D6E-409C-BE32-E72D297353CC}">
              <c16:uniqueId val="{00000011-DA74-4254-B9CB-20E682FEEBAB}"/>
            </c:ext>
          </c:extLst>
        </c:ser>
        <c:dLbls>
          <c:showLegendKey val="0"/>
          <c:showVal val="0"/>
          <c:showCatName val="0"/>
          <c:showSerName val="0"/>
          <c:showPercent val="0"/>
          <c:showBubbleSize val="0"/>
          <c:showLeaderLines val="0"/>
        </c:dLbls>
        <c:firstSliceAng val="270"/>
        <c:holeSize val="66"/>
      </c:doughnutChart>
      <c:spPr>
        <a:noFill/>
        <a:ln>
          <a:noFill/>
        </a:ln>
      </c:spPr>
    </c:plotArea>
    <c:plotVisOnly val="1"/>
    <c:dispBlanksAs val="gap"/>
    <c:showDLblsOverMax val="1"/>
  </c:chart>
  <c:spPr>
    <a:no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04"/>
          <c:w val="1"/>
          <c:h val="0.92"/>
        </c:manualLayout>
      </c:layout>
      <c:doughnutChart>
        <c:varyColors val="1"/>
        <c:ser>
          <c:idx val="0"/>
          <c:order val="0"/>
          <c:tx>
            <c:v>Needle</c:v>
          </c:tx>
          <c:dPt>
            <c:idx val="0"/>
            <c:bubble3D val="0"/>
            <c:spPr>
              <a:solidFill>
                <a:srgbClr val="224674"/>
              </a:solidFill>
              <a:ln w="19050">
                <a:solidFill>
                  <a:srgbClr val="122B4F"/>
                </a:solidFill>
              </a:ln>
            </c:spPr>
            <c:extLst>
              <c:ext xmlns:c16="http://schemas.microsoft.com/office/drawing/2014/chart" uri="{C3380CC4-5D6E-409C-BE32-E72D297353CC}">
                <c16:uniqueId val="{00000001-1F62-4BE6-B703-28C8E73A5EA1}"/>
              </c:ext>
            </c:extLst>
          </c:dPt>
          <c:dPt>
            <c:idx val="1"/>
            <c:bubble3D val="0"/>
            <c:spPr>
              <a:solidFill>
                <a:srgbClr val="F4F7FC"/>
              </a:solidFill>
              <a:ln w="19050">
                <a:solidFill>
                  <a:srgbClr val="122B4F"/>
                </a:solidFill>
              </a:ln>
            </c:spPr>
            <c:extLst>
              <c:ext xmlns:c16="http://schemas.microsoft.com/office/drawing/2014/chart" uri="{C3380CC4-5D6E-409C-BE32-E72D297353CC}">
                <c16:uniqueId val="{00000003-1F62-4BE6-B703-28C8E73A5EA1}"/>
              </c:ext>
            </c:extLst>
          </c:dPt>
          <c:dPt>
            <c:idx val="2"/>
            <c:bubble3D val="0"/>
            <c:spPr>
              <a:solidFill>
                <a:srgbClr val="224674"/>
              </a:solidFill>
              <a:ln w="19050">
                <a:solidFill>
                  <a:srgbClr val="122B4F"/>
                </a:solidFill>
              </a:ln>
            </c:spPr>
            <c:extLst>
              <c:ext xmlns:c16="http://schemas.microsoft.com/office/drawing/2014/chart" uri="{C3380CC4-5D6E-409C-BE32-E72D297353CC}">
                <c16:uniqueId val="{00000005-1F62-4BE6-B703-28C8E73A5EA1}"/>
              </c:ext>
            </c:extLst>
          </c:dPt>
          <c:dPt>
            <c:idx val="3"/>
            <c:bubble3D val="0"/>
            <c:spPr>
              <a:noFill/>
              <a:ln>
                <a:noFill/>
              </a:ln>
            </c:spPr>
            <c:extLst>
              <c:ext xmlns:c16="http://schemas.microsoft.com/office/drawing/2014/chart" uri="{C3380CC4-5D6E-409C-BE32-E72D297353CC}">
                <c16:uniqueId val="{00000007-1F62-4BE6-B703-28C8E73A5EA1}"/>
              </c:ext>
            </c:extLst>
          </c:dPt>
          <c:val>
            <c:numRef>
              <c:f>'KPI Engine (Final)'!$C$212:$F$212</c:f>
              <c:numCache>
                <c:formatCode>General</c:formatCode>
                <c:ptCount val="4"/>
                <c:pt idx="0" formatCode="0.00">
                  <c:v>58.490259740259738</c:v>
                </c:pt>
                <c:pt idx="1">
                  <c:v>2.5</c:v>
                </c:pt>
                <c:pt idx="2" formatCode="0.00">
                  <c:v>39.009740259740262</c:v>
                </c:pt>
                <c:pt idx="3">
                  <c:v>100</c:v>
                </c:pt>
              </c:numCache>
            </c:numRef>
          </c:val>
          <c:extLst>
            <c:ext xmlns:c16="http://schemas.microsoft.com/office/drawing/2014/chart" uri="{C3380CC4-5D6E-409C-BE32-E72D297353CC}">
              <c16:uniqueId val="{00000008-1F62-4BE6-B703-28C8E73A5EA1}"/>
            </c:ext>
          </c:extLst>
        </c:ser>
        <c:ser>
          <c:idx val="1"/>
          <c:order val="1"/>
          <c:tx>
            <c:v>Dial zones</c:v>
          </c:tx>
          <c:dPt>
            <c:idx val="0"/>
            <c:bubble3D val="0"/>
            <c:spPr>
              <a:solidFill>
                <a:srgbClr val="E4572E"/>
              </a:solidFill>
              <a:ln w="19050">
                <a:solidFill>
                  <a:srgbClr val="122B4F"/>
                </a:solidFill>
              </a:ln>
            </c:spPr>
            <c:extLst>
              <c:ext xmlns:c16="http://schemas.microsoft.com/office/drawing/2014/chart" uri="{C3380CC4-5D6E-409C-BE32-E72D297353CC}">
                <c16:uniqueId val="{0000000A-1F62-4BE6-B703-28C8E73A5EA1}"/>
              </c:ext>
            </c:extLst>
          </c:dPt>
          <c:dPt>
            <c:idx val="1"/>
            <c:bubble3D val="0"/>
            <c:spPr>
              <a:solidFill>
                <a:srgbClr val="E3B341"/>
              </a:solidFill>
              <a:ln w="19050">
                <a:solidFill>
                  <a:srgbClr val="122B4F"/>
                </a:solidFill>
              </a:ln>
            </c:spPr>
            <c:extLst>
              <c:ext xmlns:c16="http://schemas.microsoft.com/office/drawing/2014/chart" uri="{C3380CC4-5D6E-409C-BE32-E72D297353CC}">
                <c16:uniqueId val="{0000000C-1F62-4BE6-B703-28C8E73A5EA1}"/>
              </c:ext>
            </c:extLst>
          </c:dPt>
          <c:dPt>
            <c:idx val="2"/>
            <c:bubble3D val="0"/>
            <c:spPr>
              <a:solidFill>
                <a:srgbClr val="2FBF9B"/>
              </a:solidFill>
              <a:ln w="19050">
                <a:solidFill>
                  <a:srgbClr val="122B4F"/>
                </a:solidFill>
              </a:ln>
            </c:spPr>
            <c:extLst>
              <c:ext xmlns:c16="http://schemas.microsoft.com/office/drawing/2014/chart" uri="{C3380CC4-5D6E-409C-BE32-E72D297353CC}">
                <c16:uniqueId val="{0000000E-1F62-4BE6-B703-28C8E73A5EA1}"/>
              </c:ext>
            </c:extLst>
          </c:dPt>
          <c:dPt>
            <c:idx val="3"/>
            <c:bubble3D val="0"/>
            <c:spPr>
              <a:noFill/>
              <a:ln>
                <a:noFill/>
              </a:ln>
            </c:spPr>
            <c:extLst>
              <c:ext xmlns:c16="http://schemas.microsoft.com/office/drawing/2014/chart" uri="{C3380CC4-5D6E-409C-BE32-E72D297353CC}">
                <c16:uniqueId val="{00000010-1F62-4BE6-B703-28C8E73A5EA1}"/>
              </c:ext>
            </c:extLst>
          </c:dPt>
          <c:val>
            <c:numRef>
              <c:f>'KPI Engine (Final)'!$B$205:$E$205</c:f>
              <c:numCache>
                <c:formatCode>General</c:formatCode>
                <c:ptCount val="4"/>
                <c:pt idx="0">
                  <c:v>75</c:v>
                </c:pt>
                <c:pt idx="1">
                  <c:v>15</c:v>
                </c:pt>
                <c:pt idx="2">
                  <c:v>10</c:v>
                </c:pt>
                <c:pt idx="3">
                  <c:v>100</c:v>
                </c:pt>
              </c:numCache>
            </c:numRef>
          </c:val>
          <c:extLst>
            <c:ext xmlns:c16="http://schemas.microsoft.com/office/drawing/2014/chart" uri="{C3380CC4-5D6E-409C-BE32-E72D297353CC}">
              <c16:uniqueId val="{00000011-1F62-4BE6-B703-28C8E73A5EA1}"/>
            </c:ext>
          </c:extLst>
        </c:ser>
        <c:dLbls>
          <c:showLegendKey val="0"/>
          <c:showVal val="0"/>
          <c:showCatName val="0"/>
          <c:showSerName val="0"/>
          <c:showPercent val="0"/>
          <c:showBubbleSize val="0"/>
          <c:showLeaderLines val="0"/>
        </c:dLbls>
        <c:firstSliceAng val="270"/>
        <c:holeSize val="66"/>
      </c:doughnutChart>
      <c:spPr>
        <a:noFill/>
        <a:ln>
          <a:noFill/>
        </a:ln>
      </c:spPr>
    </c:plotArea>
    <c:plotVisOnly val="1"/>
    <c:dispBlanksAs val="gap"/>
    <c:showDLblsOverMax val="1"/>
  </c:chart>
  <c:spPr>
    <a:no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04"/>
          <c:w val="1"/>
          <c:h val="0.92"/>
        </c:manualLayout>
      </c:layout>
      <c:doughnutChart>
        <c:varyColors val="1"/>
        <c:ser>
          <c:idx val="0"/>
          <c:order val="0"/>
          <c:tx>
            <c:v>Needle</c:v>
          </c:tx>
          <c:dPt>
            <c:idx val="0"/>
            <c:bubble3D val="0"/>
            <c:spPr>
              <a:solidFill>
                <a:srgbClr val="224674"/>
              </a:solidFill>
              <a:ln w="19050">
                <a:solidFill>
                  <a:srgbClr val="122B4F"/>
                </a:solidFill>
              </a:ln>
            </c:spPr>
            <c:extLst>
              <c:ext xmlns:c16="http://schemas.microsoft.com/office/drawing/2014/chart" uri="{C3380CC4-5D6E-409C-BE32-E72D297353CC}">
                <c16:uniqueId val="{00000001-1320-4EDA-8E38-2047CA460DEB}"/>
              </c:ext>
            </c:extLst>
          </c:dPt>
          <c:dPt>
            <c:idx val="1"/>
            <c:bubble3D val="0"/>
            <c:spPr>
              <a:solidFill>
                <a:srgbClr val="F4F7FC"/>
              </a:solidFill>
              <a:ln w="19050">
                <a:solidFill>
                  <a:srgbClr val="122B4F"/>
                </a:solidFill>
              </a:ln>
            </c:spPr>
            <c:extLst>
              <c:ext xmlns:c16="http://schemas.microsoft.com/office/drawing/2014/chart" uri="{C3380CC4-5D6E-409C-BE32-E72D297353CC}">
                <c16:uniqueId val="{00000003-1320-4EDA-8E38-2047CA460DEB}"/>
              </c:ext>
            </c:extLst>
          </c:dPt>
          <c:dPt>
            <c:idx val="2"/>
            <c:bubble3D val="0"/>
            <c:spPr>
              <a:solidFill>
                <a:srgbClr val="224674"/>
              </a:solidFill>
              <a:ln w="19050">
                <a:solidFill>
                  <a:srgbClr val="122B4F"/>
                </a:solidFill>
              </a:ln>
            </c:spPr>
            <c:extLst>
              <c:ext xmlns:c16="http://schemas.microsoft.com/office/drawing/2014/chart" uri="{C3380CC4-5D6E-409C-BE32-E72D297353CC}">
                <c16:uniqueId val="{00000005-1320-4EDA-8E38-2047CA460DEB}"/>
              </c:ext>
            </c:extLst>
          </c:dPt>
          <c:dPt>
            <c:idx val="3"/>
            <c:bubble3D val="0"/>
            <c:spPr>
              <a:noFill/>
              <a:ln>
                <a:noFill/>
              </a:ln>
            </c:spPr>
            <c:extLst>
              <c:ext xmlns:c16="http://schemas.microsoft.com/office/drawing/2014/chart" uri="{C3380CC4-5D6E-409C-BE32-E72D297353CC}">
                <c16:uniqueId val="{00000007-1320-4EDA-8E38-2047CA460DEB}"/>
              </c:ext>
            </c:extLst>
          </c:dPt>
          <c:val>
            <c:numRef>
              <c:f>'KPI Engine (Final)'!$C$213:$F$213</c:f>
              <c:numCache>
                <c:formatCode>General</c:formatCode>
                <c:ptCount val="4"/>
                <c:pt idx="0" formatCode="0.00">
                  <c:v>19.338235294117645</c:v>
                </c:pt>
                <c:pt idx="1">
                  <c:v>2.5</c:v>
                </c:pt>
                <c:pt idx="2" formatCode="0.00">
                  <c:v>78.161764705882348</c:v>
                </c:pt>
                <c:pt idx="3">
                  <c:v>100</c:v>
                </c:pt>
              </c:numCache>
            </c:numRef>
          </c:val>
          <c:extLst>
            <c:ext xmlns:c16="http://schemas.microsoft.com/office/drawing/2014/chart" uri="{C3380CC4-5D6E-409C-BE32-E72D297353CC}">
              <c16:uniqueId val="{00000008-1320-4EDA-8E38-2047CA460DEB}"/>
            </c:ext>
          </c:extLst>
        </c:ser>
        <c:ser>
          <c:idx val="1"/>
          <c:order val="1"/>
          <c:tx>
            <c:v>Dial zones</c:v>
          </c:tx>
          <c:dPt>
            <c:idx val="0"/>
            <c:bubble3D val="0"/>
            <c:spPr>
              <a:solidFill>
                <a:srgbClr val="E4572E"/>
              </a:solidFill>
              <a:ln w="19050">
                <a:solidFill>
                  <a:srgbClr val="122B4F"/>
                </a:solidFill>
              </a:ln>
            </c:spPr>
            <c:extLst>
              <c:ext xmlns:c16="http://schemas.microsoft.com/office/drawing/2014/chart" uri="{C3380CC4-5D6E-409C-BE32-E72D297353CC}">
                <c16:uniqueId val="{0000000A-1320-4EDA-8E38-2047CA460DEB}"/>
              </c:ext>
            </c:extLst>
          </c:dPt>
          <c:dPt>
            <c:idx val="1"/>
            <c:bubble3D val="0"/>
            <c:spPr>
              <a:solidFill>
                <a:srgbClr val="E3B341"/>
              </a:solidFill>
              <a:ln w="19050">
                <a:solidFill>
                  <a:srgbClr val="122B4F"/>
                </a:solidFill>
              </a:ln>
            </c:spPr>
            <c:extLst>
              <c:ext xmlns:c16="http://schemas.microsoft.com/office/drawing/2014/chart" uri="{C3380CC4-5D6E-409C-BE32-E72D297353CC}">
                <c16:uniqueId val="{0000000C-1320-4EDA-8E38-2047CA460DEB}"/>
              </c:ext>
            </c:extLst>
          </c:dPt>
          <c:dPt>
            <c:idx val="2"/>
            <c:bubble3D val="0"/>
            <c:spPr>
              <a:solidFill>
                <a:srgbClr val="2FBF9B"/>
              </a:solidFill>
              <a:ln w="19050">
                <a:solidFill>
                  <a:srgbClr val="122B4F"/>
                </a:solidFill>
              </a:ln>
            </c:spPr>
            <c:extLst>
              <c:ext xmlns:c16="http://schemas.microsoft.com/office/drawing/2014/chart" uri="{C3380CC4-5D6E-409C-BE32-E72D297353CC}">
                <c16:uniqueId val="{0000000E-1320-4EDA-8E38-2047CA460DEB}"/>
              </c:ext>
            </c:extLst>
          </c:dPt>
          <c:dPt>
            <c:idx val="3"/>
            <c:bubble3D val="0"/>
            <c:spPr>
              <a:noFill/>
              <a:ln>
                <a:noFill/>
              </a:ln>
            </c:spPr>
            <c:extLst>
              <c:ext xmlns:c16="http://schemas.microsoft.com/office/drawing/2014/chart" uri="{C3380CC4-5D6E-409C-BE32-E72D297353CC}">
                <c16:uniqueId val="{00000010-1320-4EDA-8E38-2047CA460DEB}"/>
              </c:ext>
            </c:extLst>
          </c:dPt>
          <c:val>
            <c:numRef>
              <c:f>'KPI Engine (Final)'!$B$205:$E$205</c:f>
              <c:numCache>
                <c:formatCode>General</c:formatCode>
                <c:ptCount val="4"/>
                <c:pt idx="0">
                  <c:v>75</c:v>
                </c:pt>
                <c:pt idx="1">
                  <c:v>15</c:v>
                </c:pt>
                <c:pt idx="2">
                  <c:v>10</c:v>
                </c:pt>
                <c:pt idx="3">
                  <c:v>100</c:v>
                </c:pt>
              </c:numCache>
            </c:numRef>
          </c:val>
          <c:extLst>
            <c:ext xmlns:c16="http://schemas.microsoft.com/office/drawing/2014/chart" uri="{C3380CC4-5D6E-409C-BE32-E72D297353CC}">
              <c16:uniqueId val="{00000011-1320-4EDA-8E38-2047CA460DEB}"/>
            </c:ext>
          </c:extLst>
        </c:ser>
        <c:dLbls>
          <c:showLegendKey val="0"/>
          <c:showVal val="0"/>
          <c:showCatName val="0"/>
          <c:showSerName val="0"/>
          <c:showPercent val="0"/>
          <c:showBubbleSize val="0"/>
          <c:showLeaderLines val="0"/>
        </c:dLbls>
        <c:firstSliceAng val="270"/>
        <c:holeSize val="66"/>
      </c:doughnutChart>
      <c:spPr>
        <a:noFill/>
        <a:ln>
          <a:noFill/>
        </a:ln>
      </c:spPr>
    </c:plotArea>
    <c:plotVisOnly val="1"/>
    <c:dispBlanksAs val="gap"/>
    <c:showDLblsOverMax val="1"/>
  </c:chart>
  <c:spPr>
    <a:no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spPr>
            <a:solidFill>
              <a:srgbClr val="1A6B8A"/>
            </a:solidFill>
            <a:ln w="0">
              <a:noFill/>
            </a:ln>
          </c:spPr>
          <c:invertIfNegative val="0"/>
          <c:dPt>
            <c:idx val="0"/>
            <c:invertIfNegative val="0"/>
            <c:bubble3D val="0"/>
            <c:spPr>
              <a:solidFill>
                <a:srgbClr val="2FBF9B"/>
              </a:solidFill>
              <a:ln w="19080">
                <a:solidFill>
                  <a:srgbClr val="122B4F"/>
                </a:solidFill>
                <a:round/>
              </a:ln>
            </c:spPr>
            <c:extLst>
              <c:ext xmlns:c16="http://schemas.microsoft.com/office/drawing/2014/chart" uri="{C3380CC4-5D6E-409C-BE32-E72D297353CC}">
                <c16:uniqueId val="{00000001-9914-44C3-8193-E65DD8E3B7CF}"/>
              </c:ext>
            </c:extLst>
          </c:dPt>
          <c:dPt>
            <c:idx val="1"/>
            <c:invertIfNegative val="0"/>
            <c:bubble3D val="0"/>
            <c:spPr>
              <a:solidFill>
                <a:srgbClr val="2FBF9B"/>
              </a:solidFill>
              <a:ln w="19080">
                <a:solidFill>
                  <a:srgbClr val="122B4F"/>
                </a:solidFill>
                <a:round/>
              </a:ln>
            </c:spPr>
            <c:extLst>
              <c:ext xmlns:c16="http://schemas.microsoft.com/office/drawing/2014/chart" uri="{C3380CC4-5D6E-409C-BE32-E72D297353CC}">
                <c16:uniqueId val="{00000003-9914-44C3-8193-E65DD8E3B7CF}"/>
              </c:ext>
            </c:extLst>
          </c:dPt>
          <c:dPt>
            <c:idx val="2"/>
            <c:invertIfNegative val="0"/>
            <c:bubble3D val="0"/>
            <c:spPr>
              <a:solidFill>
                <a:srgbClr val="E3B341"/>
              </a:solidFill>
              <a:ln w="19080">
                <a:solidFill>
                  <a:srgbClr val="122B4F"/>
                </a:solidFill>
                <a:round/>
              </a:ln>
            </c:spPr>
            <c:extLst>
              <c:ext xmlns:c16="http://schemas.microsoft.com/office/drawing/2014/chart" uri="{C3380CC4-5D6E-409C-BE32-E72D297353CC}">
                <c16:uniqueId val="{00000005-9914-44C3-8193-E65DD8E3B7CF}"/>
              </c:ext>
            </c:extLst>
          </c:dPt>
          <c:dPt>
            <c:idx val="3"/>
            <c:invertIfNegative val="0"/>
            <c:bubble3D val="0"/>
            <c:spPr>
              <a:solidFill>
                <a:srgbClr val="E4572E"/>
              </a:solidFill>
              <a:ln w="19080">
                <a:solidFill>
                  <a:srgbClr val="122B4F"/>
                </a:solidFill>
                <a:round/>
              </a:ln>
            </c:spPr>
            <c:extLst>
              <c:ext xmlns:c16="http://schemas.microsoft.com/office/drawing/2014/chart" uri="{C3380CC4-5D6E-409C-BE32-E72D297353CC}">
                <c16:uniqueId val="{00000007-9914-44C3-8193-E65DD8E3B7CF}"/>
              </c:ext>
            </c:extLst>
          </c:dPt>
          <c:dLbls>
            <c:dLbl>
              <c:idx val="0"/>
              <c:spPr/>
              <c:txPr>
                <a:bodyPr wrap="square"/>
                <a:lstStyle/>
                <a:p>
                  <a:pPr>
                    <a:defRPr sz="850" b="1" strike="noStrike" spc="-1">
                      <a:solidFill>
                        <a:srgbClr val="FFFFFF"/>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9914-44C3-8193-E65DD8E3B7CF}"/>
                </c:ext>
              </c:extLst>
            </c:dLbl>
            <c:dLbl>
              <c:idx val="1"/>
              <c:spPr/>
              <c:txPr>
                <a:bodyPr wrap="square"/>
                <a:lstStyle/>
                <a:p>
                  <a:pPr>
                    <a:defRPr sz="850" b="1" strike="noStrike" spc="-1">
                      <a:solidFill>
                        <a:srgbClr val="FFFFFF"/>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9914-44C3-8193-E65DD8E3B7CF}"/>
                </c:ext>
              </c:extLst>
            </c:dLbl>
            <c:dLbl>
              <c:idx val="2"/>
              <c:spPr/>
              <c:txPr>
                <a:bodyPr wrap="square"/>
                <a:lstStyle/>
                <a:p>
                  <a:pPr>
                    <a:defRPr sz="850" b="1" strike="noStrike" spc="-1">
                      <a:solidFill>
                        <a:srgbClr val="FFFFFF"/>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9914-44C3-8193-E65DD8E3B7CF}"/>
                </c:ext>
              </c:extLst>
            </c:dLbl>
            <c:dLbl>
              <c:idx val="3"/>
              <c:spPr/>
              <c:txPr>
                <a:bodyPr wrap="square"/>
                <a:lstStyle/>
                <a:p>
                  <a:pPr>
                    <a:defRPr sz="850" b="1" strike="noStrike" spc="-1">
                      <a:solidFill>
                        <a:srgbClr val="FFFFFF"/>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9914-44C3-8193-E65DD8E3B7CF}"/>
                </c:ext>
              </c:extLst>
            </c:dLbl>
            <c:spPr>
              <a:noFill/>
              <a:ln>
                <a:noFill/>
              </a:ln>
              <a:effectLst/>
            </c:spPr>
            <c:txPr>
              <a:bodyPr wrap="square"/>
              <a:lstStyle/>
              <a:p>
                <a:pPr>
                  <a:defRPr sz="850" b="1" strike="noStrike" spc="-1">
                    <a:solidFill>
                      <a:srgbClr val="FFFFFF"/>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'KPI Engine (Final)'!$D$26:$G$26</c:f>
              <c:strCache>
                <c:ptCount val="4"/>
                <c:pt idx="0">
                  <c:v>Within 7 Days</c:v>
                </c:pt>
                <c:pt idx="1">
                  <c:v>8-14 Days</c:v>
                </c:pt>
                <c:pt idx="2">
                  <c:v>15-30 Days</c:v>
                </c:pt>
                <c:pt idx="3">
                  <c:v>Over 30 Days</c:v>
                </c:pt>
              </c:strCache>
            </c:strRef>
          </c:cat>
          <c:val>
            <c:numRef>
              <c:f>'KPI Engine (Final)'!$D$32:$G$32</c:f>
              <c:numCache>
                <c:formatCode>General</c:formatCode>
                <c:ptCount val="4"/>
                <c:pt idx="0">
                  <c:v>0</c:v>
                </c:pt>
                <c:pt idx="1">
                  <c:v>0</c:v>
                </c:pt>
                <c:pt idx="2">
                  <c:v>1</c:v>
                </c:pt>
                <c:pt idx="3">
                  <c:v>6</c:v>
                </c:pt>
              </c:numCache>
            </c:numRef>
          </c:val>
          <c:extLst>
            <c:ext xmlns:c16="http://schemas.microsoft.com/office/drawing/2014/chart" uri="{C3380CC4-5D6E-409C-BE32-E72D297353CC}">
              <c16:uniqueId val="{00000008-9914-44C3-8193-E65DD8E3B7CF}"/>
            </c:ext>
          </c:extLst>
        </c:ser>
        <c:dLbls>
          <c:showLegendKey val="0"/>
          <c:showVal val="0"/>
          <c:showCatName val="0"/>
          <c:showSerName val="0"/>
          <c:showPercent val="0"/>
          <c:showBubbleSize val="0"/>
        </c:dLbls>
        <c:gapWidth val="55"/>
        <c:axId val="69901015"/>
        <c:axId val="99957554"/>
      </c:barChart>
      <c:catAx>
        <c:axId val="69901015"/>
        <c:scaling>
          <c:orientation val="minMax"/>
        </c:scaling>
        <c:delete val="0"/>
        <c:axPos val="b"/>
        <c:numFmt formatCode="General" sourceLinked="0"/>
        <c:majorTickMark val="none"/>
        <c:minorTickMark val="none"/>
        <c:tickLblPos val="nextTo"/>
        <c:spPr>
          <a:ln w="9360">
            <a:solidFill>
              <a:srgbClr val="24425C"/>
            </a:solidFill>
            <a:round/>
          </a:ln>
        </c:spPr>
        <c:txPr>
          <a:bodyPr/>
          <a:lstStyle/>
          <a:p>
            <a:pPr>
              <a:defRPr sz="700" b="0" strike="noStrike" spc="-1">
                <a:solidFill>
                  <a:srgbClr val="9FB3D1"/>
                </a:solidFill>
                <a:latin typeface="Arial"/>
              </a:defRPr>
            </a:pPr>
            <a:endParaRPr lang="en-US"/>
          </a:p>
        </c:txPr>
        <c:crossAx val="99957554"/>
        <c:crosses val="autoZero"/>
        <c:auto val="1"/>
        <c:lblAlgn val="ctr"/>
        <c:lblOffset val="100"/>
        <c:noMultiLvlLbl val="0"/>
      </c:catAx>
      <c:valAx>
        <c:axId val="99957554"/>
        <c:scaling>
          <c:orientation val="minMax"/>
        </c:scaling>
        <c:delete val="0"/>
        <c:axPos val="l"/>
        <c:majorGridlines>
          <c:spPr>
            <a:ln w="6480">
              <a:solidFill>
                <a:srgbClr val="24425C"/>
              </a:solidFill>
              <a:prstDash val="sysDot"/>
              <a:round/>
            </a:ln>
          </c:spPr>
        </c:majorGridlines>
        <c:numFmt formatCode="General" sourceLinked="0"/>
        <c:majorTickMark val="none"/>
        <c:minorTickMark val="none"/>
        <c:tickLblPos val="nextTo"/>
        <c:spPr>
          <a:ln w="9360">
            <a:solidFill>
              <a:srgbClr val="24425C"/>
            </a:solidFill>
            <a:round/>
          </a:ln>
        </c:spPr>
        <c:txPr>
          <a:bodyPr/>
          <a:lstStyle/>
          <a:p>
            <a:pPr>
              <a:defRPr sz="700" b="0" strike="noStrike" spc="-1">
                <a:solidFill>
                  <a:srgbClr val="9FB3D1"/>
                </a:solidFill>
                <a:latin typeface="Arial"/>
              </a:defRPr>
            </a:pPr>
            <a:endParaRPr lang="en-US"/>
          </a:p>
        </c:txPr>
        <c:crossAx val="69901015"/>
        <c:crosses val="autoZero"/>
        <c:crossBetween val="between"/>
      </c:valAx>
      <c:spPr>
        <a:noFill/>
        <a:ln w="0">
          <a:noFill/>
        </a:ln>
      </c:spPr>
    </c:plotArea>
    <c:plotVisOnly val="1"/>
    <c:dispBlanksAs val="gap"/>
    <c:showDLblsOverMax val="1"/>
  </c:chart>
  <c:spPr>
    <a:solidFill>
      <a:srgbClr val="122B4F"/>
    </a:solidFill>
    <a:ln w="9360">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bar"/>
        <c:grouping val="stacked"/>
        <c:varyColors val="0"/>
        <c:ser>
          <c:idx val="0"/>
          <c:order val="0"/>
          <c:tx>
            <c:strRef>
              <c:f>'KPI Engine (Final)'!$C$36</c:f>
              <c:strCache>
                <c:ptCount val="1"/>
                <c:pt idx="0">
                  <c:v>Closed</c:v>
                </c:pt>
              </c:strCache>
            </c:strRef>
          </c:tx>
          <c:spPr>
            <a:solidFill>
              <a:srgbClr val="2FBF9B"/>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'KPI Engine (Final)'!$A$37:$A$41</c:f>
              <c:strCache>
                <c:ptCount val="5"/>
                <c:pt idx="0">
                  <c:v>SOR — Civil</c:v>
                </c:pt>
                <c:pt idx="1">
                  <c:v>SOR — Electrical</c:v>
                </c:pt>
                <c:pt idx="2">
                  <c:v>SOR — Traffic</c:v>
                </c:pt>
                <c:pt idx="3">
                  <c:v>SOR — Quality Management</c:v>
                </c:pt>
                <c:pt idx="4">
                  <c:v>SOR — HSE</c:v>
                </c:pt>
              </c:strCache>
            </c:strRef>
          </c:cat>
          <c:val>
            <c:numRef>
              <c:f>'KPI Engine (Final)'!$C$37:$C$41</c:f>
              <c:numCache>
                <c:formatCode>General</c:formatCode>
                <c:ptCount val="5"/>
                <c:pt idx="0">
                  <c:v>1</c:v>
                </c:pt>
                <c:pt idx="1">
                  <c:v>0</c:v>
                </c:pt>
                <c:pt idx="2">
                  <c:v>0</c:v>
                </c:pt>
                <c:pt idx="3">
                  <c:v>20</c:v>
                </c:pt>
                <c:pt idx="4">
                  <c:v>117</c:v>
                </c:pt>
              </c:numCache>
            </c:numRef>
          </c:val>
          <c:extLst>
            <c:ext xmlns:c16="http://schemas.microsoft.com/office/drawing/2014/chart" uri="{C3380CC4-5D6E-409C-BE32-E72D297353CC}">
              <c16:uniqueId val="{00000000-CE50-42A9-90E2-D8B62AE8FE41}"/>
            </c:ext>
          </c:extLst>
        </c:ser>
        <c:ser>
          <c:idx val="1"/>
          <c:order val="1"/>
          <c:tx>
            <c:strRef>
              <c:f>'KPI Engine (Final)'!$G$36</c:f>
              <c:strCache>
                <c:ptCount val="1"/>
                <c:pt idx="0">
                  <c:v>Still Open</c:v>
                </c:pt>
              </c:strCache>
            </c:strRef>
          </c:tx>
          <c:spPr>
            <a:solidFill>
              <a:srgbClr val="E3B341"/>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'KPI Engine (Final)'!$A$37:$A$41</c:f>
              <c:strCache>
                <c:ptCount val="5"/>
                <c:pt idx="0">
                  <c:v>SOR — Civil</c:v>
                </c:pt>
                <c:pt idx="1">
                  <c:v>SOR — Electrical</c:v>
                </c:pt>
                <c:pt idx="2">
                  <c:v>SOR — Traffic</c:v>
                </c:pt>
                <c:pt idx="3">
                  <c:v>SOR — Quality Management</c:v>
                </c:pt>
                <c:pt idx="4">
                  <c:v>SOR — HSE</c:v>
                </c:pt>
              </c:strCache>
            </c:strRef>
          </c:cat>
          <c:val>
            <c:numRef>
              <c:f>'KPI Engine (Final)'!$G$37:$G$41</c:f>
              <c:numCache>
                <c:formatCode>General</c:formatCode>
                <c:ptCount val="5"/>
                <c:pt idx="0">
                  <c:v>2</c:v>
                </c:pt>
                <c:pt idx="1">
                  <c:v>6</c:v>
                </c:pt>
                <c:pt idx="2">
                  <c:v>37</c:v>
                </c:pt>
                <c:pt idx="3">
                  <c:v>7</c:v>
                </c:pt>
                <c:pt idx="4">
                  <c:v>41</c:v>
                </c:pt>
              </c:numCache>
            </c:numRef>
          </c:val>
          <c:extLst>
            <c:ext xmlns:c16="http://schemas.microsoft.com/office/drawing/2014/chart" uri="{C3380CC4-5D6E-409C-BE32-E72D297353CC}">
              <c16:uniqueId val="{00000001-CE50-42A9-90E2-D8B62AE8FE41}"/>
            </c:ext>
          </c:extLst>
        </c:ser>
        <c:dLbls>
          <c:showLegendKey val="0"/>
          <c:showVal val="0"/>
          <c:showCatName val="0"/>
          <c:showSerName val="0"/>
          <c:showPercent val="0"/>
          <c:showBubbleSize val="0"/>
        </c:dLbls>
        <c:gapWidth val="55"/>
        <c:overlap val="100"/>
        <c:axId val="55675748"/>
        <c:axId val="35138458"/>
      </c:barChart>
      <c:catAx>
        <c:axId val="55675748"/>
        <c:scaling>
          <c:orientation val="minMax"/>
        </c:scaling>
        <c:delete val="0"/>
        <c:axPos val="l"/>
        <c:numFmt formatCode="General" sourceLinked="0"/>
        <c:majorTickMark val="none"/>
        <c:minorTickMark val="none"/>
        <c:tickLblPos val="nextTo"/>
        <c:spPr>
          <a:ln w="9360">
            <a:solidFill>
              <a:srgbClr val="24425C"/>
            </a:solidFill>
            <a:round/>
          </a:ln>
        </c:spPr>
        <c:txPr>
          <a:bodyPr/>
          <a:lstStyle/>
          <a:p>
            <a:pPr>
              <a:defRPr sz="700" b="0" strike="noStrike" spc="-1">
                <a:solidFill>
                  <a:srgbClr val="9FB3D1"/>
                </a:solidFill>
                <a:latin typeface="Arial"/>
              </a:defRPr>
            </a:pPr>
            <a:endParaRPr lang="en-US"/>
          </a:p>
        </c:txPr>
        <c:crossAx val="35138458"/>
        <c:crosses val="autoZero"/>
        <c:auto val="1"/>
        <c:lblAlgn val="ctr"/>
        <c:lblOffset val="100"/>
        <c:noMultiLvlLbl val="0"/>
      </c:catAx>
      <c:valAx>
        <c:axId val="35138458"/>
        <c:scaling>
          <c:orientation val="minMax"/>
        </c:scaling>
        <c:delete val="0"/>
        <c:axPos val="b"/>
        <c:majorGridlines>
          <c:spPr>
            <a:ln w="6480">
              <a:solidFill>
                <a:srgbClr val="24425C"/>
              </a:solidFill>
              <a:prstDash val="sysDot"/>
              <a:round/>
            </a:ln>
          </c:spPr>
        </c:majorGridlines>
        <c:numFmt formatCode="General" sourceLinked="0"/>
        <c:majorTickMark val="none"/>
        <c:minorTickMark val="none"/>
        <c:tickLblPos val="nextTo"/>
        <c:spPr>
          <a:ln w="9360">
            <a:solidFill>
              <a:srgbClr val="24425C"/>
            </a:solidFill>
            <a:round/>
          </a:ln>
        </c:spPr>
        <c:txPr>
          <a:bodyPr/>
          <a:lstStyle/>
          <a:p>
            <a:pPr>
              <a:defRPr sz="700" b="0" strike="noStrike" spc="-1">
                <a:solidFill>
                  <a:srgbClr val="9FB3D1"/>
                </a:solidFill>
                <a:latin typeface="Arial"/>
              </a:defRPr>
            </a:pPr>
            <a:endParaRPr lang="en-US"/>
          </a:p>
        </c:txPr>
        <c:crossAx val="55675748"/>
        <c:crosses val="autoZero"/>
        <c:crossBetween val="between"/>
      </c:valAx>
      <c:spPr>
        <a:noFill/>
        <a:ln w="0">
          <a:noFill/>
        </a:ln>
      </c:spPr>
    </c:plotArea>
    <c:legend>
      <c:legendPos val="b"/>
      <c:overlay val="0"/>
      <c:spPr>
        <a:noFill/>
        <a:ln w="0">
          <a:noFill/>
        </a:ln>
      </c:spPr>
      <c:txPr>
        <a:bodyPr/>
        <a:lstStyle/>
        <a:p>
          <a:pPr>
            <a:defRPr sz="750" b="0" strike="noStrike" spc="-1">
              <a:solidFill>
                <a:srgbClr val="E2EAF7"/>
              </a:solidFill>
              <a:latin typeface="Arial"/>
            </a:defRPr>
          </a:pPr>
          <a:endParaRPr lang="en-US"/>
        </a:p>
      </c:txPr>
    </c:legend>
    <c:plotVisOnly val="1"/>
    <c:dispBlanksAs val="gap"/>
    <c:showDLblsOverMax val="1"/>
  </c:chart>
  <c:spPr>
    <a:solidFill>
      <a:srgbClr val="122B4F"/>
    </a:solidFill>
    <a:ln w="9360">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pieChart>
        <c:varyColors val="1"/>
        <c:ser>
          <c:idx val="0"/>
          <c:order val="0"/>
          <c:spPr>
            <a:solidFill>
              <a:srgbClr val="1A6B8A"/>
            </a:solidFill>
            <a:ln w="0">
              <a:noFill/>
            </a:ln>
          </c:spPr>
          <c:dPt>
            <c:idx val="0"/>
            <c:bubble3D val="0"/>
            <c:spPr>
              <a:solidFill>
                <a:srgbClr val="2FBF9B"/>
              </a:solidFill>
              <a:ln w="19080">
                <a:solidFill>
                  <a:srgbClr val="122B4F"/>
                </a:solidFill>
                <a:round/>
              </a:ln>
            </c:spPr>
            <c:extLst>
              <c:ext xmlns:c16="http://schemas.microsoft.com/office/drawing/2014/chart" uri="{C3380CC4-5D6E-409C-BE32-E72D297353CC}">
                <c16:uniqueId val="{00000001-3A96-4912-B34E-DF56A9708745}"/>
              </c:ext>
            </c:extLst>
          </c:dPt>
          <c:dPt>
            <c:idx val="1"/>
            <c:bubble3D val="0"/>
            <c:spPr>
              <a:solidFill>
                <a:srgbClr val="E3B341"/>
              </a:solidFill>
              <a:ln w="19080">
                <a:solidFill>
                  <a:srgbClr val="122B4F"/>
                </a:solidFill>
                <a:round/>
              </a:ln>
            </c:spPr>
            <c:extLst>
              <c:ext xmlns:c16="http://schemas.microsoft.com/office/drawing/2014/chart" uri="{C3380CC4-5D6E-409C-BE32-E72D297353CC}">
                <c16:uniqueId val="{00000003-3A96-4912-B34E-DF56A9708745}"/>
              </c:ext>
            </c:extLst>
          </c:dPt>
          <c:dPt>
            <c:idx val="2"/>
            <c:bubble3D val="0"/>
            <c:spPr>
              <a:solidFill>
                <a:srgbClr val="6C7A92"/>
              </a:solidFill>
              <a:ln w="19080">
                <a:solidFill>
                  <a:srgbClr val="122B4F"/>
                </a:solidFill>
                <a:round/>
              </a:ln>
            </c:spPr>
            <c:extLst>
              <c:ext xmlns:c16="http://schemas.microsoft.com/office/drawing/2014/chart" uri="{C3380CC4-5D6E-409C-BE32-E72D297353CC}">
                <c16:uniqueId val="{00000005-3A96-4912-B34E-DF56A9708745}"/>
              </c:ext>
            </c:extLst>
          </c:dPt>
          <c:dLbls>
            <c:dLbl>
              <c:idx val="0"/>
              <c:spPr/>
              <c:txPr>
                <a:bodyPr wrap="square"/>
                <a:lstStyle/>
                <a:p>
                  <a:pPr>
                    <a:defRPr sz="850" b="1" strike="noStrike" spc="-1">
                      <a:solidFill>
                        <a:srgbClr val="FFFFFF"/>
                      </a:solidFill>
                      <a:latin typeface="Arial"/>
                    </a:defRPr>
                  </a:pPr>
                  <a:endParaRPr lang="en-US"/>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3A96-4912-B34E-DF56A9708745}"/>
                </c:ext>
              </c:extLst>
            </c:dLbl>
            <c:dLbl>
              <c:idx val="1"/>
              <c:spPr/>
              <c:txPr>
                <a:bodyPr wrap="square"/>
                <a:lstStyle/>
                <a:p>
                  <a:pPr>
                    <a:defRPr sz="850" b="1" strike="noStrike" spc="-1">
                      <a:solidFill>
                        <a:srgbClr val="FFFFFF"/>
                      </a:solidFill>
                      <a:latin typeface="Arial"/>
                    </a:defRPr>
                  </a:pPr>
                  <a:endParaRPr lang="en-US"/>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3A96-4912-B34E-DF56A9708745}"/>
                </c:ext>
              </c:extLst>
            </c:dLbl>
            <c:dLbl>
              <c:idx val="2"/>
              <c:spPr/>
              <c:txPr>
                <a:bodyPr wrap="square"/>
                <a:lstStyle/>
                <a:p>
                  <a:pPr>
                    <a:defRPr sz="850" b="1" strike="noStrike" spc="-1">
                      <a:solidFill>
                        <a:srgbClr val="FFFFFF"/>
                      </a:solidFill>
                      <a:latin typeface="Arial"/>
                    </a:defRPr>
                  </a:pPr>
                  <a:endParaRPr lang="en-US"/>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3A96-4912-B34E-DF56A9708745}"/>
                </c:ext>
              </c:extLst>
            </c:dLbl>
            <c:spPr>
              <a:noFill/>
              <a:ln>
                <a:noFill/>
              </a:ln>
              <a:effectLst/>
            </c:spPr>
            <c:txPr>
              <a:bodyPr wrap="square"/>
              <a:lstStyle/>
              <a:p>
                <a:pPr>
                  <a:defRPr sz="850" b="1" strike="noStrike" spc="-1">
                    <a:solidFill>
                      <a:srgbClr val="FFFFFF"/>
                    </a:solidFill>
                    <a:latin typeface="Arial"/>
                  </a:defRPr>
                </a:pPr>
                <a:endParaRPr lang="en-US"/>
              </a:p>
            </c:txPr>
            <c:dLblPos val="bestFit"/>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'KPI Engine (Final)'!$A$134:$A$136</c:f>
              <c:strCache>
                <c:ptCount val="3"/>
                <c:pt idx="0">
                  <c:v>Closed</c:v>
                </c:pt>
                <c:pt idx="1">
                  <c:v>Open / In Review</c:v>
                </c:pt>
                <c:pt idx="2">
                  <c:v>Withdrawn</c:v>
                </c:pt>
              </c:strCache>
            </c:strRef>
          </c:cat>
          <c:val>
            <c:numRef>
              <c:f>'KPI Engine (Final)'!$B$134:$B$136</c:f>
              <c:numCache>
                <c:formatCode>General</c:formatCode>
                <c:ptCount val="3"/>
                <c:pt idx="0">
                  <c:v>1950</c:v>
                </c:pt>
                <c:pt idx="1">
                  <c:v>390</c:v>
                </c:pt>
                <c:pt idx="2">
                  <c:v>146</c:v>
                </c:pt>
              </c:numCache>
            </c:numRef>
          </c:val>
          <c:extLst>
            <c:ext xmlns:c16="http://schemas.microsoft.com/office/drawing/2014/chart" uri="{C3380CC4-5D6E-409C-BE32-E72D297353CC}">
              <c16:uniqueId val="{00000006-3A96-4912-B34E-DF56A9708745}"/>
            </c:ext>
          </c:extLst>
        </c:ser>
        <c:dLbls>
          <c:showLegendKey val="0"/>
          <c:showVal val="0"/>
          <c:showCatName val="0"/>
          <c:showSerName val="0"/>
          <c:showPercent val="0"/>
          <c:showBubbleSize val="0"/>
          <c:showLeaderLines val="1"/>
        </c:dLbls>
        <c:firstSliceAng val="0"/>
      </c:pieChart>
      <c:spPr>
        <a:noFill/>
        <a:ln w="0">
          <a:noFill/>
        </a:ln>
      </c:spPr>
    </c:plotArea>
    <c:legend>
      <c:legendPos val="b"/>
      <c:overlay val="0"/>
      <c:spPr>
        <a:noFill/>
        <a:ln w="0">
          <a:noFill/>
        </a:ln>
      </c:spPr>
      <c:txPr>
        <a:bodyPr/>
        <a:lstStyle/>
        <a:p>
          <a:pPr>
            <a:defRPr sz="750" b="0" strike="noStrike" spc="-1">
              <a:solidFill>
                <a:srgbClr val="E2EAF7"/>
              </a:solidFill>
              <a:latin typeface="Arial"/>
            </a:defRPr>
          </a:pPr>
          <a:endParaRPr lang="en-US"/>
        </a:p>
      </c:txPr>
    </c:legend>
    <c:plotVisOnly val="1"/>
    <c:dispBlanksAs val="gap"/>
    <c:showDLblsOverMax val="1"/>
  </c:chart>
  <c:spPr>
    <a:solidFill>
      <a:srgbClr val="122B4F"/>
    </a:solidFill>
    <a:ln w="9360">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0"/>
        <c:ser>
          <c:idx val="0"/>
          <c:order val="0"/>
          <c:tx>
            <c:strRef>
              <c:f>'KPI Engine (Final)'!$B$53</c:f>
              <c:strCache>
                <c:ptCount val="1"/>
                <c:pt idx="0">
                  <c:v>WIR</c:v>
                </c:pt>
              </c:strCache>
            </c:strRef>
          </c:tx>
          <c:spPr>
            <a:ln w="22320">
              <a:solidFill>
                <a:srgbClr val="4CC3D9"/>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'KPI Engine (Final)'!$A$54:$A$64</c:f>
              <c:numCache>
                <c:formatCode>mmm\-yy</c:formatCode>
                <c:ptCount val="11"/>
                <c:pt idx="0">
                  <c:v>45962</c:v>
                </c:pt>
                <c:pt idx="1">
                  <c:v>45992</c:v>
                </c:pt>
                <c:pt idx="2">
                  <c:v>46023</c:v>
                </c:pt>
                <c:pt idx="3">
                  <c:v>46054</c:v>
                </c:pt>
                <c:pt idx="4">
                  <c:v>46082</c:v>
                </c:pt>
                <c:pt idx="5">
                  <c:v>46113</c:v>
                </c:pt>
                <c:pt idx="6">
                  <c:v>46143</c:v>
                </c:pt>
                <c:pt idx="7">
                  <c:v>46174</c:v>
                </c:pt>
                <c:pt idx="8">
                  <c:v>46204</c:v>
                </c:pt>
                <c:pt idx="9">
                  <c:v>46235</c:v>
                </c:pt>
                <c:pt idx="10">
                  <c:v>46266</c:v>
                </c:pt>
              </c:numCache>
            </c:numRef>
          </c:cat>
          <c:val>
            <c:numRef>
              <c:f>'KPI Engine (Final)'!$B$54:$B$64</c:f>
              <c:numCache>
                <c:formatCode>General</c:formatCode>
                <c:ptCount val="11"/>
                <c:pt idx="0">
                  <c:v>0</c:v>
                </c:pt>
                <c:pt idx="1">
                  <c:v>11</c:v>
                </c:pt>
                <c:pt idx="2">
                  <c:v>26</c:v>
                </c:pt>
                <c:pt idx="3">
                  <c:v>22</c:v>
                </c:pt>
                <c:pt idx="4">
                  <c:v>39</c:v>
                </c:pt>
                <c:pt idx="5">
                  <c:v>60</c:v>
                </c:pt>
                <c:pt idx="6">
                  <c:v>53</c:v>
                </c:pt>
                <c:pt idx="7">
                  <c:v>121</c:v>
                </c:pt>
                <c:pt idx="8">
                  <c:v>143</c:v>
                </c:pt>
                <c:pt idx="9">
                  <c:v>170</c:v>
                </c:pt>
                <c:pt idx="10">
                  <c:v>65</c:v>
                </c:pt>
              </c:numCache>
            </c:numRef>
          </c:val>
          <c:smooth val="0"/>
          <c:extLst>
            <c:ext xmlns:c16="http://schemas.microsoft.com/office/drawing/2014/chart" uri="{C3380CC4-5D6E-409C-BE32-E72D297353CC}">
              <c16:uniqueId val="{00000000-7CF2-44D4-BCB3-DE65A03376D1}"/>
            </c:ext>
          </c:extLst>
        </c:ser>
        <c:ser>
          <c:idx val="1"/>
          <c:order val="1"/>
          <c:tx>
            <c:strRef>
              <c:f>'KPI Engine (Final)'!$C$53</c:f>
              <c:strCache>
                <c:ptCount val="1"/>
                <c:pt idx="0">
                  <c:v>MIR</c:v>
                </c:pt>
              </c:strCache>
            </c:strRef>
          </c:tx>
          <c:spPr>
            <a:ln w="22320">
              <a:solidFill>
                <a:srgbClr val="E3B341"/>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'KPI Engine (Final)'!$A$54:$A$64</c:f>
              <c:numCache>
                <c:formatCode>mmm\-yy</c:formatCode>
                <c:ptCount val="11"/>
                <c:pt idx="0">
                  <c:v>45962</c:v>
                </c:pt>
                <c:pt idx="1">
                  <c:v>45992</c:v>
                </c:pt>
                <c:pt idx="2">
                  <c:v>46023</c:v>
                </c:pt>
                <c:pt idx="3">
                  <c:v>46054</c:v>
                </c:pt>
                <c:pt idx="4">
                  <c:v>46082</c:v>
                </c:pt>
                <c:pt idx="5">
                  <c:v>46113</c:v>
                </c:pt>
                <c:pt idx="6">
                  <c:v>46143</c:v>
                </c:pt>
                <c:pt idx="7">
                  <c:v>46174</c:v>
                </c:pt>
                <c:pt idx="8">
                  <c:v>46204</c:v>
                </c:pt>
                <c:pt idx="9">
                  <c:v>46235</c:v>
                </c:pt>
                <c:pt idx="10">
                  <c:v>46266</c:v>
                </c:pt>
              </c:numCache>
            </c:numRef>
          </c:cat>
          <c:val>
            <c:numRef>
              <c:f>'KPI Engine (Final)'!$C$54:$C$64</c:f>
              <c:numCache>
                <c:formatCode>General</c:formatCode>
                <c:ptCount val="11"/>
                <c:pt idx="0">
                  <c:v>0</c:v>
                </c:pt>
                <c:pt idx="1">
                  <c:v>3</c:v>
                </c:pt>
                <c:pt idx="2">
                  <c:v>13</c:v>
                </c:pt>
                <c:pt idx="3">
                  <c:v>10</c:v>
                </c:pt>
                <c:pt idx="4">
                  <c:v>18</c:v>
                </c:pt>
                <c:pt idx="5">
                  <c:v>8</c:v>
                </c:pt>
                <c:pt idx="6">
                  <c:v>34</c:v>
                </c:pt>
                <c:pt idx="7">
                  <c:v>44</c:v>
                </c:pt>
                <c:pt idx="8">
                  <c:v>19</c:v>
                </c:pt>
                <c:pt idx="9">
                  <c:v>37</c:v>
                </c:pt>
                <c:pt idx="10">
                  <c:v>19</c:v>
                </c:pt>
              </c:numCache>
            </c:numRef>
          </c:val>
          <c:smooth val="0"/>
          <c:extLst>
            <c:ext xmlns:c16="http://schemas.microsoft.com/office/drawing/2014/chart" uri="{C3380CC4-5D6E-409C-BE32-E72D297353CC}">
              <c16:uniqueId val="{00000001-7CF2-44D4-BCB3-DE65A03376D1}"/>
            </c:ext>
          </c:extLst>
        </c:ser>
        <c:ser>
          <c:idx val="2"/>
          <c:order val="2"/>
          <c:tx>
            <c:strRef>
              <c:f>'KPI Engine (Final)'!$D$53</c:f>
              <c:strCache>
                <c:ptCount val="1"/>
                <c:pt idx="0">
                  <c:v>SHD</c:v>
                </c:pt>
              </c:strCache>
            </c:strRef>
          </c:tx>
          <c:spPr>
            <a:ln w="22320">
              <a:solidFill>
                <a:srgbClr val="5B9BE6"/>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'KPI Engine (Final)'!$A$54:$A$64</c:f>
              <c:numCache>
                <c:formatCode>mmm\-yy</c:formatCode>
                <c:ptCount val="11"/>
                <c:pt idx="0">
                  <c:v>45962</c:v>
                </c:pt>
                <c:pt idx="1">
                  <c:v>45992</c:v>
                </c:pt>
                <c:pt idx="2">
                  <c:v>46023</c:v>
                </c:pt>
                <c:pt idx="3">
                  <c:v>46054</c:v>
                </c:pt>
                <c:pt idx="4">
                  <c:v>46082</c:v>
                </c:pt>
                <c:pt idx="5">
                  <c:v>46113</c:v>
                </c:pt>
                <c:pt idx="6">
                  <c:v>46143</c:v>
                </c:pt>
                <c:pt idx="7">
                  <c:v>46174</c:v>
                </c:pt>
                <c:pt idx="8">
                  <c:v>46204</c:v>
                </c:pt>
                <c:pt idx="9">
                  <c:v>46235</c:v>
                </c:pt>
                <c:pt idx="10">
                  <c:v>46266</c:v>
                </c:pt>
              </c:numCache>
            </c:numRef>
          </c:cat>
          <c:val>
            <c:numRef>
              <c:f>'KPI Engine (Final)'!$D$54:$D$64</c:f>
              <c:numCache>
                <c:formatCode>General</c:formatCode>
                <c:ptCount val="11"/>
                <c:pt idx="0">
                  <c:v>4</c:v>
                </c:pt>
                <c:pt idx="1">
                  <c:v>13</c:v>
                </c:pt>
                <c:pt idx="2">
                  <c:v>41</c:v>
                </c:pt>
                <c:pt idx="3">
                  <c:v>33</c:v>
                </c:pt>
                <c:pt idx="4">
                  <c:v>42</c:v>
                </c:pt>
                <c:pt idx="5">
                  <c:v>102</c:v>
                </c:pt>
                <c:pt idx="6">
                  <c:v>69</c:v>
                </c:pt>
                <c:pt idx="7">
                  <c:v>67</c:v>
                </c:pt>
                <c:pt idx="8">
                  <c:v>74</c:v>
                </c:pt>
                <c:pt idx="9">
                  <c:v>52</c:v>
                </c:pt>
                <c:pt idx="10">
                  <c:v>27</c:v>
                </c:pt>
              </c:numCache>
            </c:numRef>
          </c:val>
          <c:smooth val="0"/>
          <c:extLst>
            <c:ext xmlns:c16="http://schemas.microsoft.com/office/drawing/2014/chart" uri="{C3380CC4-5D6E-409C-BE32-E72D297353CC}">
              <c16:uniqueId val="{00000002-7CF2-44D4-BCB3-DE65A03376D1}"/>
            </c:ext>
          </c:extLst>
        </c:ser>
        <c:ser>
          <c:idx val="3"/>
          <c:order val="3"/>
          <c:tx>
            <c:strRef>
              <c:f>'KPI Engine (Final)'!$E$53</c:f>
              <c:strCache>
                <c:ptCount val="1"/>
                <c:pt idx="0">
                  <c:v>RFI</c:v>
                </c:pt>
              </c:strCache>
            </c:strRef>
          </c:tx>
          <c:spPr>
            <a:ln w="22320">
              <a:solidFill>
                <a:srgbClr val="9B7BD4"/>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'KPI Engine (Final)'!$A$54:$A$64</c:f>
              <c:numCache>
                <c:formatCode>mmm\-yy</c:formatCode>
                <c:ptCount val="11"/>
                <c:pt idx="0">
                  <c:v>45962</c:v>
                </c:pt>
                <c:pt idx="1">
                  <c:v>45992</c:v>
                </c:pt>
                <c:pt idx="2">
                  <c:v>46023</c:v>
                </c:pt>
                <c:pt idx="3">
                  <c:v>46054</c:v>
                </c:pt>
                <c:pt idx="4">
                  <c:v>46082</c:v>
                </c:pt>
                <c:pt idx="5">
                  <c:v>46113</c:v>
                </c:pt>
                <c:pt idx="6">
                  <c:v>46143</c:v>
                </c:pt>
                <c:pt idx="7">
                  <c:v>46174</c:v>
                </c:pt>
                <c:pt idx="8">
                  <c:v>46204</c:v>
                </c:pt>
                <c:pt idx="9">
                  <c:v>46235</c:v>
                </c:pt>
                <c:pt idx="10">
                  <c:v>46266</c:v>
                </c:pt>
              </c:numCache>
            </c:numRef>
          </c:cat>
          <c:val>
            <c:numRef>
              <c:f>'KPI Engine (Final)'!$E$54:$E$64</c:f>
              <c:numCache>
                <c:formatCode>General</c:formatCode>
                <c:ptCount val="11"/>
                <c:pt idx="0">
                  <c:v>1</c:v>
                </c:pt>
                <c:pt idx="1">
                  <c:v>1</c:v>
                </c:pt>
                <c:pt idx="2">
                  <c:v>9</c:v>
                </c:pt>
                <c:pt idx="3">
                  <c:v>11</c:v>
                </c:pt>
                <c:pt idx="4">
                  <c:v>11</c:v>
                </c:pt>
                <c:pt idx="5">
                  <c:v>17</c:v>
                </c:pt>
                <c:pt idx="6">
                  <c:v>25</c:v>
                </c:pt>
                <c:pt idx="7">
                  <c:v>25</c:v>
                </c:pt>
                <c:pt idx="8">
                  <c:v>18</c:v>
                </c:pt>
                <c:pt idx="9">
                  <c:v>16</c:v>
                </c:pt>
                <c:pt idx="10">
                  <c:v>3</c:v>
                </c:pt>
              </c:numCache>
            </c:numRef>
          </c:val>
          <c:smooth val="0"/>
          <c:extLst>
            <c:ext xmlns:c16="http://schemas.microsoft.com/office/drawing/2014/chart" uri="{C3380CC4-5D6E-409C-BE32-E72D297353CC}">
              <c16:uniqueId val="{00000003-7CF2-44D4-BCB3-DE65A03376D1}"/>
            </c:ext>
          </c:extLst>
        </c:ser>
        <c:ser>
          <c:idx val="4"/>
          <c:order val="4"/>
          <c:tx>
            <c:strRef>
              <c:f>'KPI Engine (Final)'!$F$53</c:f>
              <c:strCache>
                <c:ptCount val="1"/>
                <c:pt idx="0">
                  <c:v>SOR Raised</c:v>
                </c:pt>
              </c:strCache>
            </c:strRef>
          </c:tx>
          <c:spPr>
            <a:ln w="22320">
              <a:solidFill>
                <a:srgbClr val="2FBF9B"/>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'KPI Engine (Final)'!$A$54:$A$64</c:f>
              <c:numCache>
                <c:formatCode>mmm\-yy</c:formatCode>
                <c:ptCount val="11"/>
                <c:pt idx="0">
                  <c:v>45962</c:v>
                </c:pt>
                <c:pt idx="1">
                  <c:v>45992</c:v>
                </c:pt>
                <c:pt idx="2">
                  <c:v>46023</c:v>
                </c:pt>
                <c:pt idx="3">
                  <c:v>46054</c:v>
                </c:pt>
                <c:pt idx="4">
                  <c:v>46082</c:v>
                </c:pt>
                <c:pt idx="5">
                  <c:v>46113</c:v>
                </c:pt>
                <c:pt idx="6">
                  <c:v>46143</c:v>
                </c:pt>
                <c:pt idx="7">
                  <c:v>46174</c:v>
                </c:pt>
                <c:pt idx="8">
                  <c:v>46204</c:v>
                </c:pt>
                <c:pt idx="9">
                  <c:v>46235</c:v>
                </c:pt>
                <c:pt idx="10">
                  <c:v>46266</c:v>
                </c:pt>
              </c:numCache>
            </c:numRef>
          </c:cat>
          <c:val>
            <c:numRef>
              <c:f>'KPI Engine (Final)'!$F$54:$F$64</c:f>
              <c:numCache>
                <c:formatCode>General</c:formatCode>
                <c:ptCount val="11"/>
                <c:pt idx="0">
                  <c:v>0</c:v>
                </c:pt>
                <c:pt idx="1">
                  <c:v>30</c:v>
                </c:pt>
                <c:pt idx="2">
                  <c:v>26</c:v>
                </c:pt>
                <c:pt idx="3">
                  <c:v>24</c:v>
                </c:pt>
                <c:pt idx="4">
                  <c:v>31</c:v>
                </c:pt>
                <c:pt idx="5">
                  <c:v>25</c:v>
                </c:pt>
                <c:pt idx="6">
                  <c:v>49</c:v>
                </c:pt>
                <c:pt idx="7">
                  <c:v>24</c:v>
                </c:pt>
                <c:pt idx="8">
                  <c:v>13</c:v>
                </c:pt>
                <c:pt idx="9">
                  <c:v>9</c:v>
                </c:pt>
                <c:pt idx="10">
                  <c:v>6</c:v>
                </c:pt>
              </c:numCache>
            </c:numRef>
          </c:val>
          <c:smooth val="0"/>
          <c:extLst>
            <c:ext xmlns:c16="http://schemas.microsoft.com/office/drawing/2014/chart" uri="{C3380CC4-5D6E-409C-BE32-E72D297353CC}">
              <c16:uniqueId val="{00000004-7CF2-44D4-BCB3-DE65A03376D1}"/>
            </c:ext>
          </c:extLst>
        </c:ser>
        <c:ser>
          <c:idx val="5"/>
          <c:order val="5"/>
          <c:tx>
            <c:strRef>
              <c:f>'KPI Engine (Final)'!$G$53</c:f>
              <c:strCache>
                <c:ptCount val="1"/>
                <c:pt idx="0">
                  <c:v>NCR Raised</c:v>
                </c:pt>
              </c:strCache>
            </c:strRef>
          </c:tx>
          <c:spPr>
            <a:ln w="22320">
              <a:solidFill>
                <a:srgbClr val="E4572E"/>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'KPI Engine (Final)'!$A$54:$A$64</c:f>
              <c:numCache>
                <c:formatCode>mmm\-yy</c:formatCode>
                <c:ptCount val="11"/>
                <c:pt idx="0">
                  <c:v>45962</c:v>
                </c:pt>
                <c:pt idx="1">
                  <c:v>45992</c:v>
                </c:pt>
                <c:pt idx="2">
                  <c:v>46023</c:v>
                </c:pt>
                <c:pt idx="3">
                  <c:v>46054</c:v>
                </c:pt>
                <c:pt idx="4">
                  <c:v>46082</c:v>
                </c:pt>
                <c:pt idx="5">
                  <c:v>46113</c:v>
                </c:pt>
                <c:pt idx="6">
                  <c:v>46143</c:v>
                </c:pt>
                <c:pt idx="7">
                  <c:v>46174</c:v>
                </c:pt>
                <c:pt idx="8">
                  <c:v>46204</c:v>
                </c:pt>
                <c:pt idx="9">
                  <c:v>46235</c:v>
                </c:pt>
                <c:pt idx="10">
                  <c:v>46266</c:v>
                </c:pt>
              </c:numCache>
            </c:numRef>
          </c:cat>
          <c:val>
            <c:numRef>
              <c:f>'KPI Engine (Final)'!$G$54:$G$64</c:f>
              <c:numCache>
                <c:formatCode>General</c:formatCode>
                <c:ptCount val="11"/>
                <c:pt idx="0">
                  <c:v>0</c:v>
                </c:pt>
                <c:pt idx="1">
                  <c:v>0</c:v>
                </c:pt>
                <c:pt idx="2">
                  <c:v>1</c:v>
                </c:pt>
                <c:pt idx="3">
                  <c:v>0</c:v>
                </c:pt>
                <c:pt idx="4">
                  <c:v>6</c:v>
                </c:pt>
                <c:pt idx="5">
                  <c:v>4</c:v>
                </c:pt>
                <c:pt idx="6">
                  <c:v>2</c:v>
                </c:pt>
                <c:pt idx="7">
                  <c:v>7</c:v>
                </c:pt>
                <c:pt idx="8">
                  <c:v>4</c:v>
                </c:pt>
                <c:pt idx="9">
                  <c:v>6</c:v>
                </c:pt>
                <c:pt idx="10">
                  <c:v>4</c:v>
                </c:pt>
              </c:numCache>
            </c:numRef>
          </c:val>
          <c:smooth val="0"/>
          <c:extLst>
            <c:ext xmlns:c16="http://schemas.microsoft.com/office/drawing/2014/chart" uri="{C3380CC4-5D6E-409C-BE32-E72D297353CC}">
              <c16:uniqueId val="{00000005-7CF2-44D4-BCB3-DE65A03376D1}"/>
            </c:ext>
          </c:extLst>
        </c:ser>
        <c:dLbls>
          <c:showLegendKey val="0"/>
          <c:showVal val="0"/>
          <c:showCatName val="0"/>
          <c:showSerName val="0"/>
          <c:showPercent val="0"/>
          <c:showBubbleSize val="0"/>
        </c:dLbls>
        <c:hiLowLines>
          <c:spPr>
            <a:ln w="0">
              <a:noFill/>
            </a:ln>
          </c:spPr>
        </c:hiLowLines>
        <c:smooth val="0"/>
        <c:axId val="45274997"/>
        <c:axId val="97503357"/>
      </c:lineChart>
      <c:dateAx>
        <c:axId val="45274997"/>
        <c:scaling>
          <c:orientation val="minMax"/>
        </c:scaling>
        <c:delete val="0"/>
        <c:axPos val="b"/>
        <c:numFmt formatCode="mmm\-yy" sourceLinked="0"/>
        <c:majorTickMark val="none"/>
        <c:minorTickMark val="none"/>
        <c:tickLblPos val="nextTo"/>
        <c:spPr>
          <a:ln w="9360">
            <a:solidFill>
              <a:srgbClr val="24425C"/>
            </a:solidFill>
            <a:round/>
          </a:ln>
        </c:spPr>
        <c:txPr>
          <a:bodyPr/>
          <a:lstStyle/>
          <a:p>
            <a:pPr>
              <a:defRPr sz="700" b="0" strike="noStrike" spc="-1">
                <a:solidFill>
                  <a:srgbClr val="9FB3D1"/>
                </a:solidFill>
                <a:latin typeface="Arial"/>
              </a:defRPr>
            </a:pPr>
            <a:endParaRPr lang="en-US"/>
          </a:p>
        </c:txPr>
        <c:crossAx val="97503357"/>
        <c:crosses val="autoZero"/>
        <c:auto val="1"/>
        <c:lblOffset val="100"/>
        <c:baseTimeUnit val="months"/>
      </c:dateAx>
      <c:valAx>
        <c:axId val="97503357"/>
        <c:scaling>
          <c:orientation val="minMax"/>
        </c:scaling>
        <c:delete val="0"/>
        <c:axPos val="l"/>
        <c:majorGridlines>
          <c:spPr>
            <a:ln w="6480">
              <a:solidFill>
                <a:srgbClr val="24425C"/>
              </a:solidFill>
              <a:prstDash val="sysDot"/>
              <a:round/>
            </a:ln>
          </c:spPr>
        </c:majorGridlines>
        <c:numFmt formatCode="General" sourceLinked="0"/>
        <c:majorTickMark val="none"/>
        <c:minorTickMark val="none"/>
        <c:tickLblPos val="nextTo"/>
        <c:spPr>
          <a:ln w="9360">
            <a:solidFill>
              <a:srgbClr val="24425C"/>
            </a:solidFill>
            <a:round/>
          </a:ln>
        </c:spPr>
        <c:txPr>
          <a:bodyPr/>
          <a:lstStyle/>
          <a:p>
            <a:pPr>
              <a:defRPr sz="700" b="0" strike="noStrike" spc="-1">
                <a:solidFill>
                  <a:srgbClr val="9FB3D1"/>
                </a:solidFill>
                <a:latin typeface="Arial"/>
              </a:defRPr>
            </a:pPr>
            <a:endParaRPr lang="en-US"/>
          </a:p>
        </c:txPr>
        <c:crossAx val="45274997"/>
        <c:crosses val="autoZero"/>
        <c:crossBetween val="between"/>
      </c:valAx>
      <c:spPr>
        <a:noFill/>
        <a:ln w="0">
          <a:noFill/>
        </a:ln>
      </c:spPr>
    </c:plotArea>
    <c:legend>
      <c:legendPos val="b"/>
      <c:overlay val="0"/>
      <c:spPr>
        <a:noFill/>
        <a:ln w="0">
          <a:noFill/>
        </a:ln>
      </c:spPr>
      <c:txPr>
        <a:bodyPr/>
        <a:lstStyle/>
        <a:p>
          <a:pPr>
            <a:defRPr sz="750" b="0" strike="noStrike" spc="-1">
              <a:solidFill>
                <a:srgbClr val="E2EAF7"/>
              </a:solidFill>
              <a:latin typeface="Arial"/>
            </a:defRPr>
          </a:pPr>
          <a:endParaRPr lang="en-US"/>
        </a:p>
      </c:txPr>
    </c:legend>
    <c:plotVisOnly val="1"/>
    <c:dispBlanksAs val="gap"/>
    <c:showDLblsOverMax val="1"/>
  </c:chart>
  <c:spPr>
    <a:solidFill>
      <a:srgbClr val="122B4F"/>
    </a:solidFill>
    <a:ln w="9360">
      <a:no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bar"/>
        <c:grouping val="clustered"/>
        <c:varyColors val="0"/>
        <c:ser>
          <c:idx val="0"/>
          <c:order val="0"/>
          <c:spPr>
            <a:solidFill>
              <a:srgbClr val="1A6B8A"/>
            </a:solidFill>
            <a:ln w="0">
              <a:noFill/>
            </a:ln>
          </c:spPr>
          <c:invertIfNegative val="0"/>
          <c:dPt>
            <c:idx val="0"/>
            <c:invertIfNegative val="0"/>
            <c:bubble3D val="0"/>
            <c:spPr>
              <a:solidFill>
                <a:srgbClr val="2FBF9B"/>
              </a:solidFill>
              <a:ln w="19080">
                <a:solidFill>
                  <a:srgbClr val="122B4F"/>
                </a:solidFill>
                <a:round/>
              </a:ln>
            </c:spPr>
            <c:extLst>
              <c:ext xmlns:c16="http://schemas.microsoft.com/office/drawing/2014/chart" uri="{C3380CC4-5D6E-409C-BE32-E72D297353CC}">
                <c16:uniqueId val="{00000001-41DD-478B-AB8A-C3E960A9A0D6}"/>
              </c:ext>
            </c:extLst>
          </c:dPt>
          <c:dPt>
            <c:idx val="1"/>
            <c:invertIfNegative val="0"/>
            <c:bubble3D val="0"/>
            <c:spPr>
              <a:solidFill>
                <a:srgbClr val="4CC3D9"/>
              </a:solidFill>
              <a:ln w="19080">
                <a:solidFill>
                  <a:srgbClr val="122B4F"/>
                </a:solidFill>
                <a:round/>
              </a:ln>
            </c:spPr>
            <c:extLst>
              <c:ext xmlns:c16="http://schemas.microsoft.com/office/drawing/2014/chart" uri="{C3380CC4-5D6E-409C-BE32-E72D297353CC}">
                <c16:uniqueId val="{00000003-41DD-478B-AB8A-C3E960A9A0D6}"/>
              </c:ext>
            </c:extLst>
          </c:dPt>
          <c:dPt>
            <c:idx val="2"/>
            <c:invertIfNegative val="0"/>
            <c:bubble3D val="0"/>
            <c:spPr>
              <a:solidFill>
                <a:srgbClr val="E3B341"/>
              </a:solidFill>
              <a:ln w="19080">
                <a:solidFill>
                  <a:srgbClr val="122B4F"/>
                </a:solidFill>
                <a:round/>
              </a:ln>
            </c:spPr>
            <c:extLst>
              <c:ext xmlns:c16="http://schemas.microsoft.com/office/drawing/2014/chart" uri="{C3380CC4-5D6E-409C-BE32-E72D297353CC}">
                <c16:uniqueId val="{00000005-41DD-478B-AB8A-C3E960A9A0D6}"/>
              </c:ext>
            </c:extLst>
          </c:dPt>
          <c:dPt>
            <c:idx val="3"/>
            <c:invertIfNegative val="0"/>
            <c:bubble3D val="0"/>
            <c:spPr>
              <a:solidFill>
                <a:srgbClr val="5B9BE6"/>
              </a:solidFill>
              <a:ln w="19080">
                <a:solidFill>
                  <a:srgbClr val="122B4F"/>
                </a:solidFill>
                <a:round/>
              </a:ln>
            </c:spPr>
            <c:extLst>
              <c:ext xmlns:c16="http://schemas.microsoft.com/office/drawing/2014/chart" uri="{C3380CC4-5D6E-409C-BE32-E72D297353CC}">
                <c16:uniqueId val="{00000007-41DD-478B-AB8A-C3E960A9A0D6}"/>
              </c:ext>
            </c:extLst>
          </c:dPt>
          <c:dPt>
            <c:idx val="4"/>
            <c:invertIfNegative val="0"/>
            <c:bubble3D val="0"/>
            <c:spPr>
              <a:solidFill>
                <a:srgbClr val="E4572E"/>
              </a:solidFill>
              <a:ln w="19080">
                <a:solidFill>
                  <a:srgbClr val="122B4F"/>
                </a:solidFill>
                <a:round/>
              </a:ln>
            </c:spPr>
            <c:extLst>
              <c:ext xmlns:c16="http://schemas.microsoft.com/office/drawing/2014/chart" uri="{C3380CC4-5D6E-409C-BE32-E72D297353CC}">
                <c16:uniqueId val="{00000009-41DD-478B-AB8A-C3E960A9A0D6}"/>
              </c:ext>
            </c:extLst>
          </c:dPt>
          <c:dPt>
            <c:idx val="5"/>
            <c:invertIfNegative val="0"/>
            <c:bubble3D val="0"/>
            <c:spPr>
              <a:solidFill>
                <a:srgbClr val="E07A5F"/>
              </a:solidFill>
              <a:ln w="19080">
                <a:solidFill>
                  <a:srgbClr val="122B4F"/>
                </a:solidFill>
                <a:round/>
              </a:ln>
            </c:spPr>
            <c:extLst>
              <c:ext xmlns:c16="http://schemas.microsoft.com/office/drawing/2014/chart" uri="{C3380CC4-5D6E-409C-BE32-E72D297353CC}">
                <c16:uniqueId val="{0000000B-41DD-478B-AB8A-C3E960A9A0D6}"/>
              </c:ext>
            </c:extLst>
          </c:dPt>
          <c:dPt>
            <c:idx val="6"/>
            <c:invertIfNegative val="0"/>
            <c:bubble3D val="0"/>
            <c:spPr>
              <a:solidFill>
                <a:srgbClr val="6C7A92"/>
              </a:solidFill>
              <a:ln w="19080">
                <a:solidFill>
                  <a:srgbClr val="122B4F"/>
                </a:solidFill>
                <a:round/>
              </a:ln>
            </c:spPr>
            <c:extLst>
              <c:ext xmlns:c16="http://schemas.microsoft.com/office/drawing/2014/chart" uri="{C3380CC4-5D6E-409C-BE32-E72D297353CC}">
                <c16:uniqueId val="{0000000D-41DD-478B-AB8A-C3E960A9A0D6}"/>
              </c:ext>
            </c:extLst>
          </c:dPt>
          <c:dPt>
            <c:idx val="7"/>
            <c:invertIfNegative val="0"/>
            <c:bubble3D val="0"/>
            <c:spPr>
              <a:solidFill>
                <a:srgbClr val="9B7BD4"/>
              </a:solidFill>
              <a:ln w="19080">
                <a:solidFill>
                  <a:srgbClr val="122B4F"/>
                </a:solidFill>
                <a:round/>
              </a:ln>
            </c:spPr>
            <c:extLst>
              <c:ext xmlns:c16="http://schemas.microsoft.com/office/drawing/2014/chart" uri="{C3380CC4-5D6E-409C-BE32-E72D297353CC}">
                <c16:uniqueId val="{0000000F-41DD-478B-AB8A-C3E960A9A0D6}"/>
              </c:ext>
            </c:extLst>
          </c:dPt>
          <c:dLbls>
            <c:dLbl>
              <c:idx val="0"/>
              <c:spPr/>
              <c:txPr>
                <a:bodyPr wrap="square"/>
                <a:lstStyle/>
                <a:p>
                  <a:pPr>
                    <a:defRPr sz="750" b="1" strike="noStrike" spc="-1">
                      <a:solidFill>
                        <a:srgbClr val="FFFFFF"/>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41DD-478B-AB8A-C3E960A9A0D6}"/>
                </c:ext>
              </c:extLst>
            </c:dLbl>
            <c:dLbl>
              <c:idx val="1"/>
              <c:spPr/>
              <c:txPr>
                <a:bodyPr wrap="square"/>
                <a:lstStyle/>
                <a:p>
                  <a:pPr>
                    <a:defRPr sz="750" b="1" strike="noStrike" spc="-1">
                      <a:solidFill>
                        <a:srgbClr val="FFFFFF"/>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41DD-478B-AB8A-C3E960A9A0D6}"/>
                </c:ext>
              </c:extLst>
            </c:dLbl>
            <c:dLbl>
              <c:idx val="2"/>
              <c:spPr/>
              <c:txPr>
                <a:bodyPr wrap="square"/>
                <a:lstStyle/>
                <a:p>
                  <a:pPr>
                    <a:defRPr sz="750" b="1" strike="noStrike" spc="-1">
                      <a:solidFill>
                        <a:srgbClr val="FFFFFF"/>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41DD-478B-AB8A-C3E960A9A0D6}"/>
                </c:ext>
              </c:extLst>
            </c:dLbl>
            <c:dLbl>
              <c:idx val="3"/>
              <c:spPr/>
              <c:txPr>
                <a:bodyPr wrap="square"/>
                <a:lstStyle/>
                <a:p>
                  <a:pPr>
                    <a:defRPr sz="750" b="1" strike="noStrike" spc="-1">
                      <a:solidFill>
                        <a:srgbClr val="FFFFFF"/>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41DD-478B-AB8A-C3E960A9A0D6}"/>
                </c:ext>
              </c:extLst>
            </c:dLbl>
            <c:dLbl>
              <c:idx val="4"/>
              <c:spPr/>
              <c:txPr>
                <a:bodyPr wrap="square"/>
                <a:lstStyle/>
                <a:p>
                  <a:pPr>
                    <a:defRPr sz="750" b="1" strike="noStrike" spc="-1">
                      <a:solidFill>
                        <a:srgbClr val="FFFFFF"/>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41DD-478B-AB8A-C3E960A9A0D6}"/>
                </c:ext>
              </c:extLst>
            </c:dLbl>
            <c:dLbl>
              <c:idx val="5"/>
              <c:spPr/>
              <c:txPr>
                <a:bodyPr wrap="square"/>
                <a:lstStyle/>
                <a:p>
                  <a:pPr>
                    <a:defRPr sz="750" b="1" strike="noStrike" spc="-1">
                      <a:solidFill>
                        <a:srgbClr val="FFFFFF"/>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41DD-478B-AB8A-C3E960A9A0D6}"/>
                </c:ext>
              </c:extLst>
            </c:dLbl>
            <c:dLbl>
              <c:idx val="6"/>
              <c:spPr/>
              <c:txPr>
                <a:bodyPr wrap="square"/>
                <a:lstStyle/>
                <a:p>
                  <a:pPr>
                    <a:defRPr sz="750" b="1" strike="noStrike" spc="-1">
                      <a:solidFill>
                        <a:srgbClr val="FFFFFF"/>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41DD-478B-AB8A-C3E960A9A0D6}"/>
                </c:ext>
              </c:extLst>
            </c:dLbl>
            <c:dLbl>
              <c:idx val="7"/>
              <c:spPr/>
              <c:txPr>
                <a:bodyPr wrap="square"/>
                <a:lstStyle/>
                <a:p>
                  <a:pPr>
                    <a:defRPr sz="750" b="1" strike="noStrike" spc="-1">
                      <a:solidFill>
                        <a:srgbClr val="FFFFFF"/>
                      </a:solidFill>
                      <a:latin typeface="Arial"/>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41DD-478B-AB8A-C3E960A9A0D6}"/>
                </c:ext>
              </c:extLst>
            </c:dLbl>
            <c:spPr>
              <a:noFill/>
              <a:ln>
                <a:noFill/>
              </a:ln>
              <a:effectLst/>
            </c:spPr>
            <c:txPr>
              <a:bodyPr wrap="square"/>
              <a:lstStyle/>
              <a:p>
                <a:pPr>
                  <a:defRPr sz="750" b="1" strike="noStrike" spc="-1">
                    <a:solidFill>
                      <a:srgbClr val="FFFFFF"/>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'KPI Engine (Final)'!$A$98:$A$105</c:f>
              <c:strCache>
                <c:ptCount val="8"/>
                <c:pt idx="0">
                  <c:v>A — No Objection</c:v>
                </c:pt>
                <c:pt idx="1">
                  <c:v>B — No Objection w/ Comments</c:v>
                </c:pt>
                <c:pt idx="2">
                  <c:v>C — Revise &amp; Resubmit</c:v>
                </c:pt>
                <c:pt idx="3">
                  <c:v>E — Acknowledged</c:v>
                </c:pt>
                <c:pt idx="4">
                  <c:v>Rejected</c:v>
                </c:pt>
                <c:pt idx="5">
                  <c:v>Returned</c:v>
                </c:pt>
                <c:pt idx="6">
                  <c:v>Withdrawn</c:v>
                </c:pt>
                <c:pt idx="7">
                  <c:v>Under Review</c:v>
                </c:pt>
              </c:strCache>
            </c:strRef>
          </c:cat>
          <c:val>
            <c:numRef>
              <c:f>'KPI Engine (Final)'!$B$98:$B$105</c:f>
              <c:numCache>
                <c:formatCode>General</c:formatCode>
                <c:ptCount val="8"/>
                <c:pt idx="0">
                  <c:v>202</c:v>
                </c:pt>
                <c:pt idx="1">
                  <c:v>1494</c:v>
                </c:pt>
                <c:pt idx="2">
                  <c:v>20</c:v>
                </c:pt>
                <c:pt idx="3">
                  <c:v>12</c:v>
                </c:pt>
                <c:pt idx="4">
                  <c:v>4</c:v>
                </c:pt>
                <c:pt idx="5">
                  <c:v>180</c:v>
                </c:pt>
                <c:pt idx="6">
                  <c:v>146</c:v>
                </c:pt>
                <c:pt idx="7">
                  <c:v>175</c:v>
                </c:pt>
              </c:numCache>
            </c:numRef>
          </c:val>
          <c:extLst>
            <c:ext xmlns:c16="http://schemas.microsoft.com/office/drawing/2014/chart" uri="{C3380CC4-5D6E-409C-BE32-E72D297353CC}">
              <c16:uniqueId val="{00000010-41DD-478B-AB8A-C3E960A9A0D6}"/>
            </c:ext>
          </c:extLst>
        </c:ser>
        <c:dLbls>
          <c:showLegendKey val="0"/>
          <c:showVal val="0"/>
          <c:showCatName val="0"/>
          <c:showSerName val="0"/>
          <c:showPercent val="0"/>
          <c:showBubbleSize val="0"/>
        </c:dLbls>
        <c:gapWidth val="45"/>
        <c:axId val="46403695"/>
        <c:axId val="15849894"/>
      </c:barChart>
      <c:catAx>
        <c:axId val="46403695"/>
        <c:scaling>
          <c:orientation val="minMax"/>
        </c:scaling>
        <c:delete val="0"/>
        <c:axPos val="l"/>
        <c:numFmt formatCode="General" sourceLinked="0"/>
        <c:majorTickMark val="none"/>
        <c:minorTickMark val="none"/>
        <c:tickLblPos val="nextTo"/>
        <c:spPr>
          <a:ln w="9360">
            <a:solidFill>
              <a:srgbClr val="24425C"/>
            </a:solidFill>
            <a:round/>
          </a:ln>
        </c:spPr>
        <c:txPr>
          <a:bodyPr/>
          <a:lstStyle/>
          <a:p>
            <a:pPr>
              <a:defRPr sz="700" b="0" strike="noStrike" spc="-1">
                <a:solidFill>
                  <a:srgbClr val="9FB3D1"/>
                </a:solidFill>
                <a:latin typeface="Arial"/>
              </a:defRPr>
            </a:pPr>
            <a:endParaRPr lang="en-US"/>
          </a:p>
        </c:txPr>
        <c:crossAx val="15849894"/>
        <c:crosses val="autoZero"/>
        <c:auto val="1"/>
        <c:lblAlgn val="ctr"/>
        <c:lblOffset val="100"/>
        <c:noMultiLvlLbl val="0"/>
      </c:catAx>
      <c:valAx>
        <c:axId val="15849894"/>
        <c:scaling>
          <c:orientation val="minMax"/>
        </c:scaling>
        <c:delete val="0"/>
        <c:axPos val="b"/>
        <c:majorGridlines>
          <c:spPr>
            <a:ln w="6480">
              <a:solidFill>
                <a:srgbClr val="24425C"/>
              </a:solidFill>
              <a:prstDash val="sysDot"/>
              <a:round/>
            </a:ln>
          </c:spPr>
        </c:majorGridlines>
        <c:numFmt formatCode="General" sourceLinked="0"/>
        <c:majorTickMark val="none"/>
        <c:minorTickMark val="none"/>
        <c:tickLblPos val="nextTo"/>
        <c:spPr>
          <a:ln w="9360">
            <a:solidFill>
              <a:srgbClr val="24425C"/>
            </a:solidFill>
            <a:round/>
          </a:ln>
        </c:spPr>
        <c:txPr>
          <a:bodyPr/>
          <a:lstStyle/>
          <a:p>
            <a:pPr>
              <a:defRPr sz="700" b="0" strike="noStrike" spc="-1">
                <a:solidFill>
                  <a:srgbClr val="9FB3D1"/>
                </a:solidFill>
                <a:latin typeface="Arial"/>
              </a:defRPr>
            </a:pPr>
            <a:endParaRPr lang="en-US"/>
          </a:p>
        </c:txPr>
        <c:crossAx val="46403695"/>
        <c:crosses val="autoZero"/>
        <c:crossBetween val="between"/>
      </c:valAx>
      <c:spPr>
        <a:noFill/>
        <a:ln w="0">
          <a:noFill/>
        </a:ln>
      </c:spPr>
    </c:plotArea>
    <c:plotVisOnly val="1"/>
    <c:dispBlanksAs val="gap"/>
    <c:showDLblsOverMax val="1"/>
  </c:chart>
  <c:spPr>
    <a:solidFill>
      <a:srgbClr val="122B4F"/>
    </a:solidFill>
    <a:ln w="9360">
      <a:no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strRef>
              <c:f>'KPI Engine (Final)'!$B$109</c:f>
              <c:strCache>
                <c:ptCount val="1"/>
                <c:pt idx="0">
                  <c:v>WIR</c:v>
                </c:pt>
              </c:strCache>
            </c:strRef>
          </c:tx>
          <c:spPr>
            <a:solidFill>
              <a:srgbClr val="4CC3D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'KPI Engine (Final)'!$A$110:$A$115</c:f>
              <c:strCache>
                <c:ptCount val="6"/>
                <c:pt idx="0">
                  <c:v>0 - 1 day</c:v>
                </c:pt>
                <c:pt idx="1">
                  <c:v>2 - 3 days</c:v>
                </c:pt>
                <c:pt idx="2">
                  <c:v>4 - 7 days</c:v>
                </c:pt>
                <c:pt idx="3">
                  <c:v>8 - 14 days</c:v>
                </c:pt>
                <c:pt idx="4">
                  <c:v>15 - 30 days</c:v>
                </c:pt>
                <c:pt idx="5">
                  <c:v>Over 30 days</c:v>
                </c:pt>
              </c:strCache>
            </c:strRef>
          </c:cat>
          <c:val>
            <c:numRef>
              <c:f>'KPI Engine (Final)'!$B$110:$B$115</c:f>
              <c:numCache>
                <c:formatCode>General</c:formatCode>
                <c:ptCount val="6"/>
                <c:pt idx="0">
                  <c:v>260</c:v>
                </c:pt>
                <c:pt idx="1">
                  <c:v>357</c:v>
                </c:pt>
                <c:pt idx="2">
                  <c:v>3</c:v>
                </c:pt>
                <c:pt idx="3">
                  <c:v>0</c:v>
                </c:pt>
                <c:pt idx="4">
                  <c:v>0</c:v>
                </c:pt>
                <c:pt idx="5">
                  <c:v>0</c:v>
                </c:pt>
              </c:numCache>
            </c:numRef>
          </c:val>
          <c:extLst>
            <c:ext xmlns:c16="http://schemas.microsoft.com/office/drawing/2014/chart" uri="{C3380CC4-5D6E-409C-BE32-E72D297353CC}">
              <c16:uniqueId val="{00000000-F99D-4167-8E7D-16F3DC7C6787}"/>
            </c:ext>
          </c:extLst>
        </c:ser>
        <c:ser>
          <c:idx val="1"/>
          <c:order val="1"/>
          <c:tx>
            <c:strRef>
              <c:f>'KPI Engine (Final)'!$C$109</c:f>
              <c:strCache>
                <c:ptCount val="1"/>
                <c:pt idx="0">
                  <c:v>MIR</c:v>
                </c:pt>
              </c:strCache>
            </c:strRef>
          </c:tx>
          <c:spPr>
            <a:solidFill>
              <a:srgbClr val="E3B341"/>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'KPI Engine (Final)'!$A$110:$A$115</c:f>
              <c:strCache>
                <c:ptCount val="6"/>
                <c:pt idx="0">
                  <c:v>0 - 1 day</c:v>
                </c:pt>
                <c:pt idx="1">
                  <c:v>2 - 3 days</c:v>
                </c:pt>
                <c:pt idx="2">
                  <c:v>4 - 7 days</c:v>
                </c:pt>
                <c:pt idx="3">
                  <c:v>8 - 14 days</c:v>
                </c:pt>
                <c:pt idx="4">
                  <c:v>15 - 30 days</c:v>
                </c:pt>
                <c:pt idx="5">
                  <c:v>Over 30 days</c:v>
                </c:pt>
              </c:strCache>
            </c:strRef>
          </c:cat>
          <c:val>
            <c:numRef>
              <c:f>'KPI Engine (Final)'!$C$110:$C$115</c:f>
              <c:numCache>
                <c:formatCode>General</c:formatCode>
                <c:ptCount val="6"/>
                <c:pt idx="0">
                  <c:v>90</c:v>
                </c:pt>
                <c:pt idx="1">
                  <c:v>92</c:v>
                </c:pt>
                <c:pt idx="2">
                  <c:v>1</c:v>
                </c:pt>
                <c:pt idx="3">
                  <c:v>0</c:v>
                </c:pt>
                <c:pt idx="4">
                  <c:v>0</c:v>
                </c:pt>
                <c:pt idx="5">
                  <c:v>0</c:v>
                </c:pt>
              </c:numCache>
            </c:numRef>
          </c:val>
          <c:extLst>
            <c:ext xmlns:c16="http://schemas.microsoft.com/office/drawing/2014/chart" uri="{C3380CC4-5D6E-409C-BE32-E72D297353CC}">
              <c16:uniqueId val="{00000001-F99D-4167-8E7D-16F3DC7C6787}"/>
            </c:ext>
          </c:extLst>
        </c:ser>
        <c:ser>
          <c:idx val="2"/>
          <c:order val="2"/>
          <c:tx>
            <c:strRef>
              <c:f>'KPI Engine (Final)'!$D$109</c:f>
              <c:strCache>
                <c:ptCount val="1"/>
                <c:pt idx="0">
                  <c:v>SHD</c:v>
                </c:pt>
              </c:strCache>
            </c:strRef>
          </c:tx>
          <c:spPr>
            <a:solidFill>
              <a:srgbClr val="5B9BE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'KPI Engine (Final)'!$A$110:$A$115</c:f>
              <c:strCache>
                <c:ptCount val="6"/>
                <c:pt idx="0">
                  <c:v>0 - 1 day</c:v>
                </c:pt>
                <c:pt idx="1">
                  <c:v>2 - 3 days</c:v>
                </c:pt>
                <c:pt idx="2">
                  <c:v>4 - 7 days</c:v>
                </c:pt>
                <c:pt idx="3">
                  <c:v>8 - 14 days</c:v>
                </c:pt>
                <c:pt idx="4">
                  <c:v>15 - 30 days</c:v>
                </c:pt>
                <c:pt idx="5">
                  <c:v>Over 30 days</c:v>
                </c:pt>
              </c:strCache>
            </c:strRef>
          </c:cat>
          <c:val>
            <c:numRef>
              <c:f>'KPI Engine (Final)'!$D$110:$D$115</c:f>
              <c:numCache>
                <c:formatCode>General</c:formatCode>
                <c:ptCount val="6"/>
                <c:pt idx="0">
                  <c:v>27</c:v>
                </c:pt>
                <c:pt idx="1">
                  <c:v>69</c:v>
                </c:pt>
                <c:pt idx="2">
                  <c:v>203</c:v>
                </c:pt>
                <c:pt idx="3">
                  <c:v>132</c:v>
                </c:pt>
                <c:pt idx="4">
                  <c:v>1</c:v>
                </c:pt>
                <c:pt idx="5">
                  <c:v>0</c:v>
                </c:pt>
              </c:numCache>
            </c:numRef>
          </c:val>
          <c:extLst>
            <c:ext xmlns:c16="http://schemas.microsoft.com/office/drawing/2014/chart" uri="{C3380CC4-5D6E-409C-BE32-E72D297353CC}">
              <c16:uniqueId val="{00000002-F99D-4167-8E7D-16F3DC7C6787}"/>
            </c:ext>
          </c:extLst>
        </c:ser>
        <c:ser>
          <c:idx val="3"/>
          <c:order val="3"/>
          <c:tx>
            <c:strRef>
              <c:f>'KPI Engine (Final)'!$E$109</c:f>
              <c:strCache>
                <c:ptCount val="1"/>
                <c:pt idx="0">
                  <c:v>RFI</c:v>
                </c:pt>
              </c:strCache>
            </c:strRef>
          </c:tx>
          <c:spPr>
            <a:solidFill>
              <a:srgbClr val="9B7BD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'KPI Engine (Final)'!$A$110:$A$115</c:f>
              <c:strCache>
                <c:ptCount val="6"/>
                <c:pt idx="0">
                  <c:v>0 - 1 day</c:v>
                </c:pt>
                <c:pt idx="1">
                  <c:v>2 - 3 days</c:v>
                </c:pt>
                <c:pt idx="2">
                  <c:v>4 - 7 days</c:v>
                </c:pt>
                <c:pt idx="3">
                  <c:v>8 - 14 days</c:v>
                </c:pt>
                <c:pt idx="4">
                  <c:v>15 - 30 days</c:v>
                </c:pt>
                <c:pt idx="5">
                  <c:v>Over 30 days</c:v>
                </c:pt>
              </c:strCache>
            </c:strRef>
          </c:cat>
          <c:val>
            <c:numRef>
              <c:f>'KPI Engine (Final)'!$E$110:$E$115</c:f>
              <c:numCache>
                <c:formatCode>General</c:formatCode>
                <c:ptCount val="6"/>
                <c:pt idx="0">
                  <c:v>23</c:v>
                </c:pt>
                <c:pt idx="1">
                  <c:v>21</c:v>
                </c:pt>
                <c:pt idx="2">
                  <c:v>29</c:v>
                </c:pt>
                <c:pt idx="3">
                  <c:v>33</c:v>
                </c:pt>
                <c:pt idx="4">
                  <c:v>1</c:v>
                </c:pt>
                <c:pt idx="5">
                  <c:v>0</c:v>
                </c:pt>
              </c:numCache>
            </c:numRef>
          </c:val>
          <c:extLst>
            <c:ext xmlns:c16="http://schemas.microsoft.com/office/drawing/2014/chart" uri="{C3380CC4-5D6E-409C-BE32-E72D297353CC}">
              <c16:uniqueId val="{00000003-F99D-4167-8E7D-16F3DC7C6787}"/>
            </c:ext>
          </c:extLst>
        </c:ser>
        <c:dLbls>
          <c:showLegendKey val="0"/>
          <c:showVal val="0"/>
          <c:showCatName val="0"/>
          <c:showSerName val="0"/>
          <c:showPercent val="0"/>
          <c:showBubbleSize val="0"/>
        </c:dLbls>
        <c:gapWidth val="60"/>
        <c:axId val="62818286"/>
        <c:axId val="76135119"/>
      </c:barChart>
      <c:catAx>
        <c:axId val="62818286"/>
        <c:scaling>
          <c:orientation val="minMax"/>
        </c:scaling>
        <c:delete val="0"/>
        <c:axPos val="b"/>
        <c:numFmt formatCode="General" sourceLinked="0"/>
        <c:majorTickMark val="none"/>
        <c:minorTickMark val="none"/>
        <c:tickLblPos val="nextTo"/>
        <c:spPr>
          <a:ln w="9360">
            <a:solidFill>
              <a:srgbClr val="24425C"/>
            </a:solidFill>
            <a:round/>
          </a:ln>
        </c:spPr>
        <c:txPr>
          <a:bodyPr/>
          <a:lstStyle/>
          <a:p>
            <a:pPr>
              <a:defRPr sz="700" b="0" strike="noStrike" spc="-1">
                <a:solidFill>
                  <a:srgbClr val="9FB3D1"/>
                </a:solidFill>
                <a:latin typeface="Arial"/>
              </a:defRPr>
            </a:pPr>
            <a:endParaRPr lang="en-US"/>
          </a:p>
        </c:txPr>
        <c:crossAx val="76135119"/>
        <c:crosses val="autoZero"/>
        <c:auto val="1"/>
        <c:lblAlgn val="ctr"/>
        <c:lblOffset val="100"/>
        <c:noMultiLvlLbl val="0"/>
      </c:catAx>
      <c:valAx>
        <c:axId val="76135119"/>
        <c:scaling>
          <c:orientation val="minMax"/>
        </c:scaling>
        <c:delete val="0"/>
        <c:axPos val="l"/>
        <c:majorGridlines>
          <c:spPr>
            <a:ln w="6480">
              <a:solidFill>
                <a:srgbClr val="24425C"/>
              </a:solidFill>
              <a:prstDash val="sysDot"/>
              <a:round/>
            </a:ln>
          </c:spPr>
        </c:majorGridlines>
        <c:numFmt formatCode="General" sourceLinked="0"/>
        <c:majorTickMark val="none"/>
        <c:minorTickMark val="none"/>
        <c:tickLblPos val="nextTo"/>
        <c:spPr>
          <a:ln w="9360">
            <a:solidFill>
              <a:srgbClr val="24425C"/>
            </a:solidFill>
            <a:round/>
          </a:ln>
        </c:spPr>
        <c:txPr>
          <a:bodyPr/>
          <a:lstStyle/>
          <a:p>
            <a:pPr>
              <a:defRPr sz="700" b="0" strike="noStrike" spc="-1">
                <a:solidFill>
                  <a:srgbClr val="9FB3D1"/>
                </a:solidFill>
                <a:latin typeface="Arial"/>
              </a:defRPr>
            </a:pPr>
            <a:endParaRPr lang="en-US"/>
          </a:p>
        </c:txPr>
        <c:crossAx val="62818286"/>
        <c:crosses val="autoZero"/>
        <c:crossBetween val="between"/>
      </c:valAx>
      <c:spPr>
        <a:noFill/>
        <a:ln w="0">
          <a:noFill/>
        </a:ln>
      </c:spPr>
    </c:plotArea>
    <c:legend>
      <c:legendPos val="b"/>
      <c:overlay val="0"/>
      <c:spPr>
        <a:noFill/>
        <a:ln w="0">
          <a:noFill/>
        </a:ln>
      </c:spPr>
      <c:txPr>
        <a:bodyPr/>
        <a:lstStyle/>
        <a:p>
          <a:pPr>
            <a:defRPr sz="750" b="0" strike="noStrike" spc="-1">
              <a:solidFill>
                <a:srgbClr val="E2EAF7"/>
              </a:solidFill>
              <a:latin typeface="Arial"/>
            </a:defRPr>
          </a:pPr>
          <a:endParaRPr lang="en-US"/>
        </a:p>
      </c:txPr>
    </c:legend>
    <c:plotVisOnly val="1"/>
    <c:dispBlanksAs val="gap"/>
    <c:showDLblsOverMax val="1"/>
  </c:chart>
  <c:spPr>
    <a:solidFill>
      <a:srgbClr val="122B4F"/>
    </a:solidFill>
    <a:ln w="9360">
      <a:no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bar"/>
        <c:grouping val="stacked"/>
        <c:varyColors val="0"/>
        <c:ser>
          <c:idx val="0"/>
          <c:order val="0"/>
          <c:tx>
            <c:strRef>
              <c:f>'KPI Engine (Final)'!$B$119</c:f>
              <c:strCache>
                <c:ptCount val="1"/>
                <c:pt idx="0">
                  <c:v>WIR</c:v>
                </c:pt>
              </c:strCache>
            </c:strRef>
          </c:tx>
          <c:spPr>
            <a:solidFill>
              <a:srgbClr val="4CC3D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'KPI Engine (Final)'!$A$120:$A$129</c:f>
              <c:strCache>
                <c:ptCount val="10"/>
                <c:pt idx="0">
                  <c:v>STR — Structural</c:v>
                </c:pt>
                <c:pt idx="1">
                  <c:v>SUR — Surveying</c:v>
                </c:pt>
                <c:pt idx="2">
                  <c:v>CIV — Civil</c:v>
                </c:pt>
                <c:pt idx="3">
                  <c:v>ROD — Roads</c:v>
                </c:pt>
                <c:pt idx="4">
                  <c:v>TEM — Temporary Work</c:v>
                </c:pt>
                <c:pt idx="5">
                  <c:v>MEC — Mechanical</c:v>
                </c:pt>
                <c:pt idx="6">
                  <c:v>IRR — Irrigation</c:v>
                </c:pt>
                <c:pt idx="7">
                  <c:v>MEP — Mechanical, Electrical &amp; P</c:v>
                </c:pt>
                <c:pt idx="8">
                  <c:v>ELE — Electrical</c:v>
                </c:pt>
                <c:pt idx="9">
                  <c:v>TTM — Temporary Traffic Manageme</c:v>
                </c:pt>
              </c:strCache>
            </c:strRef>
          </c:cat>
          <c:val>
            <c:numRef>
              <c:f>'KPI Engine (Final)'!$B$120:$B$129</c:f>
              <c:numCache>
                <c:formatCode>General</c:formatCode>
                <c:ptCount val="10"/>
                <c:pt idx="0">
                  <c:v>323</c:v>
                </c:pt>
                <c:pt idx="1">
                  <c:v>254</c:v>
                </c:pt>
                <c:pt idx="2">
                  <c:v>105</c:v>
                </c:pt>
                <c:pt idx="3">
                  <c:v>0</c:v>
                </c:pt>
                <c:pt idx="4">
                  <c:v>0</c:v>
                </c:pt>
                <c:pt idx="5">
                  <c:v>18</c:v>
                </c:pt>
                <c:pt idx="6">
                  <c:v>2</c:v>
                </c:pt>
                <c:pt idx="7">
                  <c:v>0</c:v>
                </c:pt>
                <c:pt idx="8">
                  <c:v>0</c:v>
                </c:pt>
                <c:pt idx="9">
                  <c:v>0</c:v>
                </c:pt>
              </c:numCache>
            </c:numRef>
          </c:val>
          <c:extLst>
            <c:ext xmlns:c16="http://schemas.microsoft.com/office/drawing/2014/chart" uri="{C3380CC4-5D6E-409C-BE32-E72D297353CC}">
              <c16:uniqueId val="{00000000-0856-4BF4-AF13-7D41DB4F8BE3}"/>
            </c:ext>
          </c:extLst>
        </c:ser>
        <c:ser>
          <c:idx val="1"/>
          <c:order val="1"/>
          <c:tx>
            <c:strRef>
              <c:f>'KPI Engine (Final)'!$C$119</c:f>
              <c:strCache>
                <c:ptCount val="1"/>
                <c:pt idx="0">
                  <c:v>MIR</c:v>
                </c:pt>
              </c:strCache>
            </c:strRef>
          </c:tx>
          <c:spPr>
            <a:solidFill>
              <a:srgbClr val="E3B341"/>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'KPI Engine (Final)'!$A$120:$A$129</c:f>
              <c:strCache>
                <c:ptCount val="10"/>
                <c:pt idx="0">
                  <c:v>STR — Structural</c:v>
                </c:pt>
                <c:pt idx="1">
                  <c:v>SUR — Surveying</c:v>
                </c:pt>
                <c:pt idx="2">
                  <c:v>CIV — Civil</c:v>
                </c:pt>
                <c:pt idx="3">
                  <c:v>ROD — Roads</c:v>
                </c:pt>
                <c:pt idx="4">
                  <c:v>TEM — Temporary Work</c:v>
                </c:pt>
                <c:pt idx="5">
                  <c:v>MEC — Mechanical</c:v>
                </c:pt>
                <c:pt idx="6">
                  <c:v>IRR — Irrigation</c:v>
                </c:pt>
                <c:pt idx="7">
                  <c:v>MEP — Mechanical, Electrical &amp; P</c:v>
                </c:pt>
                <c:pt idx="8">
                  <c:v>ELE — Electrical</c:v>
                </c:pt>
                <c:pt idx="9">
                  <c:v>TTM — Temporary Traffic Manageme</c:v>
                </c:pt>
              </c:strCache>
            </c:strRef>
          </c:cat>
          <c:val>
            <c:numRef>
              <c:f>'KPI Engine (Final)'!$C$120:$C$129</c:f>
              <c:numCache>
                <c:formatCode>General</c:formatCode>
                <c:ptCount val="10"/>
                <c:pt idx="0">
                  <c:v>46</c:v>
                </c:pt>
                <c:pt idx="1">
                  <c:v>0</c:v>
                </c:pt>
                <c:pt idx="2">
                  <c:v>108</c:v>
                </c:pt>
                <c:pt idx="3">
                  <c:v>29</c:v>
                </c:pt>
                <c:pt idx="4">
                  <c:v>0</c:v>
                </c:pt>
                <c:pt idx="5">
                  <c:v>12</c:v>
                </c:pt>
                <c:pt idx="6">
                  <c:v>8</c:v>
                </c:pt>
                <c:pt idx="7">
                  <c:v>0</c:v>
                </c:pt>
                <c:pt idx="8">
                  <c:v>0</c:v>
                </c:pt>
                <c:pt idx="9">
                  <c:v>0</c:v>
                </c:pt>
              </c:numCache>
            </c:numRef>
          </c:val>
          <c:extLst>
            <c:ext xmlns:c16="http://schemas.microsoft.com/office/drawing/2014/chart" uri="{C3380CC4-5D6E-409C-BE32-E72D297353CC}">
              <c16:uniqueId val="{00000001-0856-4BF4-AF13-7D41DB4F8BE3}"/>
            </c:ext>
          </c:extLst>
        </c:ser>
        <c:ser>
          <c:idx val="2"/>
          <c:order val="2"/>
          <c:tx>
            <c:strRef>
              <c:f>'KPI Engine (Final)'!$D$119</c:f>
              <c:strCache>
                <c:ptCount val="1"/>
                <c:pt idx="0">
                  <c:v>SHD</c:v>
                </c:pt>
              </c:strCache>
            </c:strRef>
          </c:tx>
          <c:spPr>
            <a:solidFill>
              <a:srgbClr val="5B9BE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'KPI Engine (Final)'!$A$120:$A$129</c:f>
              <c:strCache>
                <c:ptCount val="10"/>
                <c:pt idx="0">
                  <c:v>STR — Structural</c:v>
                </c:pt>
                <c:pt idx="1">
                  <c:v>SUR — Surveying</c:v>
                </c:pt>
                <c:pt idx="2">
                  <c:v>CIV — Civil</c:v>
                </c:pt>
                <c:pt idx="3">
                  <c:v>ROD — Roads</c:v>
                </c:pt>
                <c:pt idx="4">
                  <c:v>TEM — Temporary Work</c:v>
                </c:pt>
                <c:pt idx="5">
                  <c:v>MEC — Mechanical</c:v>
                </c:pt>
                <c:pt idx="6">
                  <c:v>IRR — Irrigation</c:v>
                </c:pt>
                <c:pt idx="7">
                  <c:v>MEP — Mechanical, Electrical &amp; P</c:v>
                </c:pt>
                <c:pt idx="8">
                  <c:v>ELE — Electrical</c:v>
                </c:pt>
                <c:pt idx="9">
                  <c:v>TTM — Temporary Traffic Manageme</c:v>
                </c:pt>
              </c:strCache>
            </c:strRef>
          </c:cat>
          <c:val>
            <c:numRef>
              <c:f>'KPI Engine (Final)'!$D$120:$D$129</c:f>
              <c:numCache>
                <c:formatCode>General</c:formatCode>
                <c:ptCount val="10"/>
                <c:pt idx="0">
                  <c:v>390</c:v>
                </c:pt>
                <c:pt idx="1">
                  <c:v>3</c:v>
                </c:pt>
                <c:pt idx="2">
                  <c:v>12</c:v>
                </c:pt>
                <c:pt idx="3">
                  <c:v>27</c:v>
                </c:pt>
                <c:pt idx="4">
                  <c:v>34</c:v>
                </c:pt>
                <c:pt idx="5">
                  <c:v>0</c:v>
                </c:pt>
                <c:pt idx="6">
                  <c:v>5</c:v>
                </c:pt>
                <c:pt idx="7">
                  <c:v>0</c:v>
                </c:pt>
                <c:pt idx="8">
                  <c:v>8</c:v>
                </c:pt>
                <c:pt idx="9">
                  <c:v>10</c:v>
                </c:pt>
              </c:numCache>
            </c:numRef>
          </c:val>
          <c:extLst>
            <c:ext xmlns:c16="http://schemas.microsoft.com/office/drawing/2014/chart" uri="{C3380CC4-5D6E-409C-BE32-E72D297353CC}">
              <c16:uniqueId val="{00000002-0856-4BF4-AF13-7D41DB4F8BE3}"/>
            </c:ext>
          </c:extLst>
        </c:ser>
        <c:ser>
          <c:idx val="3"/>
          <c:order val="3"/>
          <c:tx>
            <c:strRef>
              <c:f>'KPI Engine (Final)'!$E$119</c:f>
              <c:strCache>
                <c:ptCount val="1"/>
                <c:pt idx="0">
                  <c:v>RFI</c:v>
                </c:pt>
              </c:strCache>
            </c:strRef>
          </c:tx>
          <c:spPr>
            <a:solidFill>
              <a:srgbClr val="9B7BD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'KPI Engine (Final)'!$A$120:$A$129</c:f>
              <c:strCache>
                <c:ptCount val="10"/>
                <c:pt idx="0">
                  <c:v>STR — Structural</c:v>
                </c:pt>
                <c:pt idx="1">
                  <c:v>SUR — Surveying</c:v>
                </c:pt>
                <c:pt idx="2">
                  <c:v>CIV — Civil</c:v>
                </c:pt>
                <c:pt idx="3">
                  <c:v>ROD — Roads</c:v>
                </c:pt>
                <c:pt idx="4">
                  <c:v>TEM — Temporary Work</c:v>
                </c:pt>
                <c:pt idx="5">
                  <c:v>MEC — Mechanical</c:v>
                </c:pt>
                <c:pt idx="6">
                  <c:v>IRR — Irrigation</c:v>
                </c:pt>
                <c:pt idx="7">
                  <c:v>MEP — Mechanical, Electrical &amp; P</c:v>
                </c:pt>
                <c:pt idx="8">
                  <c:v>ELE — Electrical</c:v>
                </c:pt>
                <c:pt idx="9">
                  <c:v>TTM — Temporary Traffic Manageme</c:v>
                </c:pt>
              </c:strCache>
            </c:strRef>
          </c:cat>
          <c:val>
            <c:numRef>
              <c:f>'KPI Engine (Final)'!$E$120:$E$129</c:f>
              <c:numCache>
                <c:formatCode>General</c:formatCode>
                <c:ptCount val="10"/>
                <c:pt idx="0">
                  <c:v>62</c:v>
                </c:pt>
                <c:pt idx="1">
                  <c:v>0</c:v>
                </c:pt>
                <c:pt idx="2">
                  <c:v>30</c:v>
                </c:pt>
                <c:pt idx="3">
                  <c:v>10</c:v>
                </c:pt>
                <c:pt idx="4">
                  <c:v>0</c:v>
                </c:pt>
                <c:pt idx="5">
                  <c:v>0</c:v>
                </c:pt>
                <c:pt idx="6">
                  <c:v>0</c:v>
                </c:pt>
                <c:pt idx="7">
                  <c:v>15</c:v>
                </c:pt>
                <c:pt idx="8">
                  <c:v>6</c:v>
                </c:pt>
                <c:pt idx="9">
                  <c:v>0</c:v>
                </c:pt>
              </c:numCache>
            </c:numRef>
          </c:val>
          <c:extLst>
            <c:ext xmlns:c16="http://schemas.microsoft.com/office/drawing/2014/chart" uri="{C3380CC4-5D6E-409C-BE32-E72D297353CC}">
              <c16:uniqueId val="{00000003-0856-4BF4-AF13-7D41DB4F8BE3}"/>
            </c:ext>
          </c:extLst>
        </c:ser>
        <c:dLbls>
          <c:showLegendKey val="0"/>
          <c:showVal val="0"/>
          <c:showCatName val="0"/>
          <c:showSerName val="0"/>
          <c:showPercent val="0"/>
          <c:showBubbleSize val="0"/>
        </c:dLbls>
        <c:gapWidth val="50"/>
        <c:overlap val="100"/>
        <c:axId val="54157963"/>
        <c:axId val="91230202"/>
      </c:barChart>
      <c:catAx>
        <c:axId val="54157963"/>
        <c:scaling>
          <c:orientation val="minMax"/>
        </c:scaling>
        <c:delete val="0"/>
        <c:axPos val="l"/>
        <c:numFmt formatCode="General" sourceLinked="0"/>
        <c:majorTickMark val="none"/>
        <c:minorTickMark val="none"/>
        <c:tickLblPos val="nextTo"/>
        <c:spPr>
          <a:ln w="9360">
            <a:solidFill>
              <a:srgbClr val="24425C"/>
            </a:solidFill>
            <a:round/>
          </a:ln>
        </c:spPr>
        <c:txPr>
          <a:bodyPr/>
          <a:lstStyle/>
          <a:p>
            <a:pPr>
              <a:defRPr sz="700" b="0" strike="noStrike" spc="-1">
                <a:solidFill>
                  <a:srgbClr val="9FB3D1"/>
                </a:solidFill>
                <a:latin typeface="Arial"/>
              </a:defRPr>
            </a:pPr>
            <a:endParaRPr lang="en-US"/>
          </a:p>
        </c:txPr>
        <c:crossAx val="91230202"/>
        <c:crosses val="autoZero"/>
        <c:auto val="1"/>
        <c:lblAlgn val="ctr"/>
        <c:lblOffset val="100"/>
        <c:noMultiLvlLbl val="0"/>
      </c:catAx>
      <c:valAx>
        <c:axId val="91230202"/>
        <c:scaling>
          <c:orientation val="minMax"/>
        </c:scaling>
        <c:delete val="0"/>
        <c:axPos val="b"/>
        <c:majorGridlines>
          <c:spPr>
            <a:ln w="6480">
              <a:solidFill>
                <a:srgbClr val="24425C"/>
              </a:solidFill>
              <a:prstDash val="sysDot"/>
              <a:round/>
            </a:ln>
          </c:spPr>
        </c:majorGridlines>
        <c:numFmt formatCode="General" sourceLinked="0"/>
        <c:majorTickMark val="none"/>
        <c:minorTickMark val="none"/>
        <c:tickLblPos val="nextTo"/>
        <c:spPr>
          <a:ln w="9360">
            <a:solidFill>
              <a:srgbClr val="24425C"/>
            </a:solidFill>
            <a:round/>
          </a:ln>
        </c:spPr>
        <c:txPr>
          <a:bodyPr/>
          <a:lstStyle/>
          <a:p>
            <a:pPr>
              <a:defRPr sz="700" b="0" strike="noStrike" spc="-1">
                <a:solidFill>
                  <a:srgbClr val="9FB3D1"/>
                </a:solidFill>
                <a:latin typeface="Arial"/>
              </a:defRPr>
            </a:pPr>
            <a:endParaRPr lang="en-US"/>
          </a:p>
        </c:txPr>
        <c:crossAx val="54157963"/>
        <c:crosses val="autoZero"/>
        <c:crossBetween val="between"/>
      </c:valAx>
      <c:spPr>
        <a:noFill/>
        <a:ln w="0">
          <a:noFill/>
        </a:ln>
      </c:spPr>
    </c:plotArea>
    <c:legend>
      <c:legendPos val="b"/>
      <c:overlay val="0"/>
      <c:spPr>
        <a:noFill/>
        <a:ln w="0">
          <a:noFill/>
        </a:ln>
      </c:spPr>
      <c:txPr>
        <a:bodyPr/>
        <a:lstStyle/>
        <a:p>
          <a:pPr>
            <a:defRPr sz="750" b="0" strike="noStrike" spc="-1">
              <a:solidFill>
                <a:srgbClr val="E2EAF7"/>
              </a:solidFill>
              <a:latin typeface="Arial"/>
            </a:defRPr>
          </a:pPr>
          <a:endParaRPr lang="en-US"/>
        </a:p>
      </c:txPr>
    </c:legend>
    <c:plotVisOnly val="1"/>
    <c:dispBlanksAs val="gap"/>
    <c:showDLblsOverMax val="1"/>
  </c:chart>
  <c:spPr>
    <a:solidFill>
      <a:srgbClr val="122B4F"/>
    </a:solidFill>
    <a:ln w="9360">
      <a:noFill/>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04"/>
          <c:w val="1"/>
          <c:h val="0.92"/>
        </c:manualLayout>
      </c:layout>
      <c:doughnutChart>
        <c:varyColors val="1"/>
        <c:ser>
          <c:idx val="0"/>
          <c:order val="0"/>
          <c:tx>
            <c:v>Needle</c:v>
          </c:tx>
          <c:dPt>
            <c:idx val="0"/>
            <c:bubble3D val="0"/>
            <c:spPr>
              <a:solidFill>
                <a:srgbClr val="224674"/>
              </a:solidFill>
              <a:ln w="19050">
                <a:solidFill>
                  <a:srgbClr val="122B4F"/>
                </a:solidFill>
              </a:ln>
            </c:spPr>
            <c:extLst>
              <c:ext xmlns:c16="http://schemas.microsoft.com/office/drawing/2014/chart" uri="{C3380CC4-5D6E-409C-BE32-E72D297353CC}">
                <c16:uniqueId val="{00000001-0365-4C38-BDF6-56AA5856435F}"/>
              </c:ext>
            </c:extLst>
          </c:dPt>
          <c:dPt>
            <c:idx val="1"/>
            <c:bubble3D val="0"/>
            <c:spPr>
              <a:solidFill>
                <a:srgbClr val="F4F7FC"/>
              </a:solidFill>
              <a:ln w="19050">
                <a:solidFill>
                  <a:srgbClr val="122B4F"/>
                </a:solidFill>
              </a:ln>
            </c:spPr>
            <c:extLst>
              <c:ext xmlns:c16="http://schemas.microsoft.com/office/drawing/2014/chart" uri="{C3380CC4-5D6E-409C-BE32-E72D297353CC}">
                <c16:uniqueId val="{00000003-0365-4C38-BDF6-56AA5856435F}"/>
              </c:ext>
            </c:extLst>
          </c:dPt>
          <c:dPt>
            <c:idx val="2"/>
            <c:bubble3D val="0"/>
            <c:spPr>
              <a:solidFill>
                <a:srgbClr val="224674"/>
              </a:solidFill>
              <a:ln w="19050">
                <a:solidFill>
                  <a:srgbClr val="122B4F"/>
                </a:solidFill>
              </a:ln>
            </c:spPr>
            <c:extLst>
              <c:ext xmlns:c16="http://schemas.microsoft.com/office/drawing/2014/chart" uri="{C3380CC4-5D6E-409C-BE32-E72D297353CC}">
                <c16:uniqueId val="{00000005-0365-4C38-BDF6-56AA5856435F}"/>
              </c:ext>
            </c:extLst>
          </c:dPt>
          <c:dPt>
            <c:idx val="3"/>
            <c:bubble3D val="0"/>
            <c:spPr>
              <a:noFill/>
              <a:ln>
                <a:noFill/>
              </a:ln>
            </c:spPr>
            <c:extLst>
              <c:ext xmlns:c16="http://schemas.microsoft.com/office/drawing/2014/chart" uri="{C3380CC4-5D6E-409C-BE32-E72D297353CC}">
                <c16:uniqueId val="{00000007-0365-4C38-BDF6-56AA5856435F}"/>
              </c:ext>
            </c:extLst>
          </c:dPt>
          <c:val>
            <c:numRef>
              <c:f>'KPI Engine (Final)'!$C$214:$F$214</c:f>
              <c:numCache>
                <c:formatCode>General</c:formatCode>
                <c:ptCount val="4"/>
                <c:pt idx="0" formatCode="0.00">
                  <c:v>88.735486211901318</c:v>
                </c:pt>
                <c:pt idx="1">
                  <c:v>2.5</c:v>
                </c:pt>
                <c:pt idx="2" formatCode="0.00">
                  <c:v>8.7645137880986823</c:v>
                </c:pt>
                <c:pt idx="3">
                  <c:v>100</c:v>
                </c:pt>
              </c:numCache>
            </c:numRef>
          </c:val>
          <c:extLst>
            <c:ext xmlns:c16="http://schemas.microsoft.com/office/drawing/2014/chart" uri="{C3380CC4-5D6E-409C-BE32-E72D297353CC}">
              <c16:uniqueId val="{00000008-0365-4C38-BDF6-56AA5856435F}"/>
            </c:ext>
          </c:extLst>
        </c:ser>
        <c:ser>
          <c:idx val="1"/>
          <c:order val="1"/>
          <c:tx>
            <c:v>Dial zones</c:v>
          </c:tx>
          <c:dPt>
            <c:idx val="0"/>
            <c:bubble3D val="0"/>
            <c:spPr>
              <a:solidFill>
                <a:srgbClr val="E4572E"/>
              </a:solidFill>
              <a:ln w="19050">
                <a:solidFill>
                  <a:srgbClr val="122B4F"/>
                </a:solidFill>
              </a:ln>
            </c:spPr>
            <c:extLst>
              <c:ext xmlns:c16="http://schemas.microsoft.com/office/drawing/2014/chart" uri="{C3380CC4-5D6E-409C-BE32-E72D297353CC}">
                <c16:uniqueId val="{0000000A-0365-4C38-BDF6-56AA5856435F}"/>
              </c:ext>
            </c:extLst>
          </c:dPt>
          <c:dPt>
            <c:idx val="1"/>
            <c:bubble3D val="0"/>
            <c:spPr>
              <a:solidFill>
                <a:srgbClr val="E3B341"/>
              </a:solidFill>
              <a:ln w="19050">
                <a:solidFill>
                  <a:srgbClr val="122B4F"/>
                </a:solidFill>
              </a:ln>
            </c:spPr>
            <c:extLst>
              <c:ext xmlns:c16="http://schemas.microsoft.com/office/drawing/2014/chart" uri="{C3380CC4-5D6E-409C-BE32-E72D297353CC}">
                <c16:uniqueId val="{0000000C-0365-4C38-BDF6-56AA5856435F}"/>
              </c:ext>
            </c:extLst>
          </c:dPt>
          <c:dPt>
            <c:idx val="2"/>
            <c:bubble3D val="0"/>
            <c:spPr>
              <a:solidFill>
                <a:srgbClr val="2FBF9B"/>
              </a:solidFill>
              <a:ln w="19050">
                <a:solidFill>
                  <a:srgbClr val="122B4F"/>
                </a:solidFill>
              </a:ln>
            </c:spPr>
            <c:extLst>
              <c:ext xmlns:c16="http://schemas.microsoft.com/office/drawing/2014/chart" uri="{C3380CC4-5D6E-409C-BE32-E72D297353CC}">
                <c16:uniqueId val="{0000000E-0365-4C38-BDF6-56AA5856435F}"/>
              </c:ext>
            </c:extLst>
          </c:dPt>
          <c:dPt>
            <c:idx val="3"/>
            <c:bubble3D val="0"/>
            <c:spPr>
              <a:noFill/>
              <a:ln>
                <a:noFill/>
              </a:ln>
            </c:spPr>
            <c:extLst>
              <c:ext xmlns:c16="http://schemas.microsoft.com/office/drawing/2014/chart" uri="{C3380CC4-5D6E-409C-BE32-E72D297353CC}">
                <c16:uniqueId val="{00000010-0365-4C38-BDF6-56AA5856435F}"/>
              </c:ext>
            </c:extLst>
          </c:dPt>
          <c:val>
            <c:numRef>
              <c:f>'KPI Engine (Final)'!$B$205:$E$205</c:f>
              <c:numCache>
                <c:formatCode>General</c:formatCode>
                <c:ptCount val="4"/>
                <c:pt idx="0">
                  <c:v>75</c:v>
                </c:pt>
                <c:pt idx="1">
                  <c:v>15</c:v>
                </c:pt>
                <c:pt idx="2">
                  <c:v>10</c:v>
                </c:pt>
                <c:pt idx="3">
                  <c:v>100</c:v>
                </c:pt>
              </c:numCache>
            </c:numRef>
          </c:val>
          <c:extLst>
            <c:ext xmlns:c16="http://schemas.microsoft.com/office/drawing/2014/chart" uri="{C3380CC4-5D6E-409C-BE32-E72D297353CC}">
              <c16:uniqueId val="{00000011-0365-4C38-BDF6-56AA5856435F}"/>
            </c:ext>
          </c:extLst>
        </c:ser>
        <c:dLbls>
          <c:showLegendKey val="0"/>
          <c:showVal val="0"/>
          <c:showCatName val="0"/>
          <c:showSerName val="0"/>
          <c:showPercent val="0"/>
          <c:showBubbleSize val="0"/>
          <c:showLeaderLines val="0"/>
        </c:dLbls>
        <c:firstSliceAng val="270"/>
        <c:holeSize val="66"/>
      </c:doughnutChart>
      <c:spPr>
        <a:noFill/>
        <a:ln>
          <a:noFill/>
        </a:ln>
      </c:spPr>
    </c:plotArea>
    <c:plotVisOnly val="1"/>
    <c:dispBlanksAs val="gap"/>
    <c:showDLblsOverMax val="1"/>
  </c:chart>
  <c:spPr>
    <a:noFill/>
    <a:ln>
      <a:no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04"/>
          <c:w val="1"/>
          <c:h val="0.92"/>
        </c:manualLayout>
      </c:layout>
      <c:doughnutChart>
        <c:varyColors val="1"/>
        <c:ser>
          <c:idx val="0"/>
          <c:order val="0"/>
          <c:tx>
            <c:v>Needle</c:v>
          </c:tx>
          <c:dPt>
            <c:idx val="0"/>
            <c:bubble3D val="0"/>
            <c:spPr>
              <a:solidFill>
                <a:srgbClr val="224674"/>
              </a:solidFill>
              <a:ln w="19050">
                <a:solidFill>
                  <a:srgbClr val="122B4F"/>
                </a:solidFill>
              </a:ln>
            </c:spPr>
            <c:extLst>
              <c:ext xmlns:c16="http://schemas.microsoft.com/office/drawing/2014/chart" uri="{C3380CC4-5D6E-409C-BE32-E72D297353CC}">
                <c16:uniqueId val="{00000001-5813-45F5-9B72-1F32DA3823BC}"/>
              </c:ext>
            </c:extLst>
          </c:dPt>
          <c:dPt>
            <c:idx val="1"/>
            <c:bubble3D val="0"/>
            <c:spPr>
              <a:solidFill>
                <a:srgbClr val="F4F7FC"/>
              </a:solidFill>
              <a:ln w="19050">
                <a:solidFill>
                  <a:srgbClr val="122B4F"/>
                </a:solidFill>
              </a:ln>
            </c:spPr>
            <c:extLst>
              <c:ext xmlns:c16="http://schemas.microsoft.com/office/drawing/2014/chart" uri="{C3380CC4-5D6E-409C-BE32-E72D297353CC}">
                <c16:uniqueId val="{00000003-5813-45F5-9B72-1F32DA3823BC}"/>
              </c:ext>
            </c:extLst>
          </c:dPt>
          <c:dPt>
            <c:idx val="2"/>
            <c:bubble3D val="0"/>
            <c:spPr>
              <a:solidFill>
                <a:srgbClr val="224674"/>
              </a:solidFill>
              <a:ln w="19050">
                <a:solidFill>
                  <a:srgbClr val="122B4F"/>
                </a:solidFill>
              </a:ln>
            </c:spPr>
            <c:extLst>
              <c:ext xmlns:c16="http://schemas.microsoft.com/office/drawing/2014/chart" uri="{C3380CC4-5D6E-409C-BE32-E72D297353CC}">
                <c16:uniqueId val="{00000005-5813-45F5-9B72-1F32DA3823BC}"/>
              </c:ext>
            </c:extLst>
          </c:dPt>
          <c:dPt>
            <c:idx val="3"/>
            <c:bubble3D val="0"/>
            <c:spPr>
              <a:noFill/>
              <a:ln>
                <a:noFill/>
              </a:ln>
            </c:spPr>
            <c:extLst>
              <c:ext xmlns:c16="http://schemas.microsoft.com/office/drawing/2014/chart" uri="{C3380CC4-5D6E-409C-BE32-E72D297353CC}">
                <c16:uniqueId val="{00000007-5813-45F5-9B72-1F32DA3823BC}"/>
              </c:ext>
            </c:extLst>
          </c:dPt>
          <c:val>
            <c:numRef>
              <c:f>'KPI Engine (Final)'!$C$215:$F$215</c:f>
              <c:numCache>
                <c:formatCode>General</c:formatCode>
                <c:ptCount val="4"/>
                <c:pt idx="0" formatCode="0.00">
                  <c:v>93.568652849740943</c:v>
                </c:pt>
                <c:pt idx="1">
                  <c:v>2.5</c:v>
                </c:pt>
                <c:pt idx="2" formatCode="0.00">
                  <c:v>3.9313471502590573</c:v>
                </c:pt>
                <c:pt idx="3">
                  <c:v>100</c:v>
                </c:pt>
              </c:numCache>
            </c:numRef>
          </c:val>
          <c:extLst>
            <c:ext xmlns:c16="http://schemas.microsoft.com/office/drawing/2014/chart" uri="{C3380CC4-5D6E-409C-BE32-E72D297353CC}">
              <c16:uniqueId val="{00000008-5813-45F5-9B72-1F32DA3823BC}"/>
            </c:ext>
          </c:extLst>
        </c:ser>
        <c:ser>
          <c:idx val="1"/>
          <c:order val="1"/>
          <c:tx>
            <c:v>Dial zones</c:v>
          </c:tx>
          <c:dPt>
            <c:idx val="0"/>
            <c:bubble3D val="0"/>
            <c:spPr>
              <a:solidFill>
                <a:srgbClr val="E4572E"/>
              </a:solidFill>
              <a:ln w="19050">
                <a:solidFill>
                  <a:srgbClr val="122B4F"/>
                </a:solidFill>
              </a:ln>
            </c:spPr>
            <c:extLst>
              <c:ext xmlns:c16="http://schemas.microsoft.com/office/drawing/2014/chart" uri="{C3380CC4-5D6E-409C-BE32-E72D297353CC}">
                <c16:uniqueId val="{0000000A-5813-45F5-9B72-1F32DA3823BC}"/>
              </c:ext>
            </c:extLst>
          </c:dPt>
          <c:dPt>
            <c:idx val="1"/>
            <c:bubble3D val="0"/>
            <c:spPr>
              <a:solidFill>
                <a:srgbClr val="E3B341"/>
              </a:solidFill>
              <a:ln w="19050">
                <a:solidFill>
                  <a:srgbClr val="122B4F"/>
                </a:solidFill>
              </a:ln>
            </c:spPr>
            <c:extLst>
              <c:ext xmlns:c16="http://schemas.microsoft.com/office/drawing/2014/chart" uri="{C3380CC4-5D6E-409C-BE32-E72D297353CC}">
                <c16:uniqueId val="{0000000C-5813-45F5-9B72-1F32DA3823BC}"/>
              </c:ext>
            </c:extLst>
          </c:dPt>
          <c:dPt>
            <c:idx val="2"/>
            <c:bubble3D val="0"/>
            <c:spPr>
              <a:solidFill>
                <a:srgbClr val="2FBF9B"/>
              </a:solidFill>
              <a:ln w="19050">
                <a:solidFill>
                  <a:srgbClr val="122B4F"/>
                </a:solidFill>
              </a:ln>
            </c:spPr>
            <c:extLst>
              <c:ext xmlns:c16="http://schemas.microsoft.com/office/drawing/2014/chart" uri="{C3380CC4-5D6E-409C-BE32-E72D297353CC}">
                <c16:uniqueId val="{0000000E-5813-45F5-9B72-1F32DA3823BC}"/>
              </c:ext>
            </c:extLst>
          </c:dPt>
          <c:dPt>
            <c:idx val="3"/>
            <c:bubble3D val="0"/>
            <c:spPr>
              <a:noFill/>
              <a:ln>
                <a:noFill/>
              </a:ln>
            </c:spPr>
            <c:extLst>
              <c:ext xmlns:c16="http://schemas.microsoft.com/office/drawing/2014/chart" uri="{C3380CC4-5D6E-409C-BE32-E72D297353CC}">
                <c16:uniqueId val="{00000010-5813-45F5-9B72-1F32DA3823BC}"/>
              </c:ext>
            </c:extLst>
          </c:dPt>
          <c:val>
            <c:numRef>
              <c:f>'KPI Engine (Final)'!$B$205:$E$205</c:f>
              <c:numCache>
                <c:formatCode>General</c:formatCode>
                <c:ptCount val="4"/>
                <c:pt idx="0">
                  <c:v>75</c:v>
                </c:pt>
                <c:pt idx="1">
                  <c:v>15</c:v>
                </c:pt>
                <c:pt idx="2">
                  <c:v>10</c:v>
                </c:pt>
                <c:pt idx="3">
                  <c:v>100</c:v>
                </c:pt>
              </c:numCache>
            </c:numRef>
          </c:val>
          <c:extLst>
            <c:ext xmlns:c16="http://schemas.microsoft.com/office/drawing/2014/chart" uri="{C3380CC4-5D6E-409C-BE32-E72D297353CC}">
              <c16:uniqueId val="{00000011-5813-45F5-9B72-1F32DA3823BC}"/>
            </c:ext>
          </c:extLst>
        </c:ser>
        <c:dLbls>
          <c:showLegendKey val="0"/>
          <c:showVal val="0"/>
          <c:showCatName val="0"/>
          <c:showSerName val="0"/>
          <c:showPercent val="0"/>
          <c:showBubbleSize val="0"/>
          <c:showLeaderLines val="0"/>
        </c:dLbls>
        <c:firstSliceAng val="270"/>
        <c:holeSize val="66"/>
      </c:doughnutChart>
      <c:spPr>
        <a:noFill/>
        <a:ln>
          <a:noFill/>
        </a:ln>
      </c:spPr>
    </c:plotArea>
    <c:plotVisOnly val="1"/>
    <c:dispBlanksAs val="gap"/>
    <c:showDLblsOverMax val="1"/>
  </c:chart>
  <c:spPr>
    <a:noFill/>
    <a:ln>
      <a:noFill/>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04"/>
          <c:w val="1"/>
          <c:h val="0.92"/>
        </c:manualLayout>
      </c:layout>
      <c:doughnutChart>
        <c:varyColors val="1"/>
        <c:ser>
          <c:idx val="0"/>
          <c:order val="0"/>
          <c:tx>
            <c:v>Needle</c:v>
          </c:tx>
          <c:dPt>
            <c:idx val="0"/>
            <c:bubble3D val="0"/>
            <c:spPr>
              <a:solidFill>
                <a:srgbClr val="224674"/>
              </a:solidFill>
              <a:ln w="19050">
                <a:solidFill>
                  <a:srgbClr val="122B4F"/>
                </a:solidFill>
              </a:ln>
            </c:spPr>
            <c:extLst>
              <c:ext xmlns:c16="http://schemas.microsoft.com/office/drawing/2014/chart" uri="{C3380CC4-5D6E-409C-BE32-E72D297353CC}">
                <c16:uniqueId val="{00000001-7E4C-4812-B008-504A32654113}"/>
              </c:ext>
            </c:extLst>
          </c:dPt>
          <c:dPt>
            <c:idx val="1"/>
            <c:bubble3D val="0"/>
            <c:spPr>
              <a:solidFill>
                <a:srgbClr val="F4F7FC"/>
              </a:solidFill>
              <a:ln w="19050">
                <a:solidFill>
                  <a:srgbClr val="122B4F"/>
                </a:solidFill>
              </a:ln>
            </c:spPr>
            <c:extLst>
              <c:ext xmlns:c16="http://schemas.microsoft.com/office/drawing/2014/chart" uri="{C3380CC4-5D6E-409C-BE32-E72D297353CC}">
                <c16:uniqueId val="{00000003-7E4C-4812-B008-504A32654113}"/>
              </c:ext>
            </c:extLst>
          </c:dPt>
          <c:dPt>
            <c:idx val="2"/>
            <c:bubble3D val="0"/>
            <c:spPr>
              <a:solidFill>
                <a:srgbClr val="224674"/>
              </a:solidFill>
              <a:ln w="19050">
                <a:solidFill>
                  <a:srgbClr val="122B4F"/>
                </a:solidFill>
              </a:ln>
            </c:spPr>
            <c:extLst>
              <c:ext xmlns:c16="http://schemas.microsoft.com/office/drawing/2014/chart" uri="{C3380CC4-5D6E-409C-BE32-E72D297353CC}">
                <c16:uniqueId val="{00000005-7E4C-4812-B008-504A32654113}"/>
              </c:ext>
            </c:extLst>
          </c:dPt>
          <c:dPt>
            <c:idx val="3"/>
            <c:bubble3D val="0"/>
            <c:spPr>
              <a:noFill/>
              <a:ln>
                <a:noFill/>
              </a:ln>
            </c:spPr>
            <c:extLst>
              <c:ext xmlns:c16="http://schemas.microsoft.com/office/drawing/2014/chart" uri="{C3380CC4-5D6E-409C-BE32-E72D297353CC}">
                <c16:uniqueId val="{00000007-7E4C-4812-B008-504A32654113}"/>
              </c:ext>
            </c:extLst>
          </c:dPt>
          <c:val>
            <c:numRef>
              <c:f>'KPI Engine (Final)'!$C$216:$F$216</c:f>
              <c:numCache>
                <c:formatCode>General</c:formatCode>
                <c:ptCount val="4"/>
                <c:pt idx="0" formatCode="0.00">
                  <c:v>91.122881355932208</c:v>
                </c:pt>
                <c:pt idx="1">
                  <c:v>2.5</c:v>
                </c:pt>
                <c:pt idx="2" formatCode="0.00">
                  <c:v>6.3771186440677923</c:v>
                </c:pt>
                <c:pt idx="3">
                  <c:v>100</c:v>
                </c:pt>
              </c:numCache>
            </c:numRef>
          </c:val>
          <c:extLst>
            <c:ext xmlns:c16="http://schemas.microsoft.com/office/drawing/2014/chart" uri="{C3380CC4-5D6E-409C-BE32-E72D297353CC}">
              <c16:uniqueId val="{00000008-7E4C-4812-B008-504A32654113}"/>
            </c:ext>
          </c:extLst>
        </c:ser>
        <c:ser>
          <c:idx val="1"/>
          <c:order val="1"/>
          <c:tx>
            <c:v>Dial zones</c:v>
          </c:tx>
          <c:dPt>
            <c:idx val="0"/>
            <c:bubble3D val="0"/>
            <c:spPr>
              <a:solidFill>
                <a:srgbClr val="E4572E"/>
              </a:solidFill>
              <a:ln w="19050">
                <a:solidFill>
                  <a:srgbClr val="122B4F"/>
                </a:solidFill>
              </a:ln>
            </c:spPr>
            <c:extLst>
              <c:ext xmlns:c16="http://schemas.microsoft.com/office/drawing/2014/chart" uri="{C3380CC4-5D6E-409C-BE32-E72D297353CC}">
                <c16:uniqueId val="{0000000A-7E4C-4812-B008-504A32654113}"/>
              </c:ext>
            </c:extLst>
          </c:dPt>
          <c:dPt>
            <c:idx val="1"/>
            <c:bubble3D val="0"/>
            <c:spPr>
              <a:solidFill>
                <a:srgbClr val="E3B341"/>
              </a:solidFill>
              <a:ln w="19050">
                <a:solidFill>
                  <a:srgbClr val="122B4F"/>
                </a:solidFill>
              </a:ln>
            </c:spPr>
            <c:extLst>
              <c:ext xmlns:c16="http://schemas.microsoft.com/office/drawing/2014/chart" uri="{C3380CC4-5D6E-409C-BE32-E72D297353CC}">
                <c16:uniqueId val="{0000000C-7E4C-4812-B008-504A32654113}"/>
              </c:ext>
            </c:extLst>
          </c:dPt>
          <c:dPt>
            <c:idx val="2"/>
            <c:bubble3D val="0"/>
            <c:spPr>
              <a:solidFill>
                <a:srgbClr val="2FBF9B"/>
              </a:solidFill>
              <a:ln w="19050">
                <a:solidFill>
                  <a:srgbClr val="122B4F"/>
                </a:solidFill>
              </a:ln>
            </c:spPr>
            <c:extLst>
              <c:ext xmlns:c16="http://schemas.microsoft.com/office/drawing/2014/chart" uri="{C3380CC4-5D6E-409C-BE32-E72D297353CC}">
                <c16:uniqueId val="{0000000E-7E4C-4812-B008-504A32654113}"/>
              </c:ext>
            </c:extLst>
          </c:dPt>
          <c:dPt>
            <c:idx val="3"/>
            <c:bubble3D val="0"/>
            <c:spPr>
              <a:noFill/>
              <a:ln>
                <a:noFill/>
              </a:ln>
            </c:spPr>
            <c:extLst>
              <c:ext xmlns:c16="http://schemas.microsoft.com/office/drawing/2014/chart" uri="{C3380CC4-5D6E-409C-BE32-E72D297353CC}">
                <c16:uniqueId val="{00000010-7E4C-4812-B008-504A32654113}"/>
              </c:ext>
            </c:extLst>
          </c:dPt>
          <c:val>
            <c:numRef>
              <c:f>'KPI Engine (Final)'!$B$205:$E$205</c:f>
              <c:numCache>
                <c:formatCode>General</c:formatCode>
                <c:ptCount val="4"/>
                <c:pt idx="0">
                  <c:v>75</c:v>
                </c:pt>
                <c:pt idx="1">
                  <c:v>15</c:v>
                </c:pt>
                <c:pt idx="2">
                  <c:v>10</c:v>
                </c:pt>
                <c:pt idx="3">
                  <c:v>100</c:v>
                </c:pt>
              </c:numCache>
            </c:numRef>
          </c:val>
          <c:extLst>
            <c:ext xmlns:c16="http://schemas.microsoft.com/office/drawing/2014/chart" uri="{C3380CC4-5D6E-409C-BE32-E72D297353CC}">
              <c16:uniqueId val="{00000011-7E4C-4812-B008-504A32654113}"/>
            </c:ext>
          </c:extLst>
        </c:ser>
        <c:dLbls>
          <c:showLegendKey val="0"/>
          <c:showVal val="0"/>
          <c:showCatName val="0"/>
          <c:showSerName val="0"/>
          <c:showPercent val="0"/>
          <c:showBubbleSize val="0"/>
          <c:showLeaderLines val="0"/>
        </c:dLbls>
        <c:firstSliceAng val="270"/>
        <c:holeSize val="66"/>
      </c:doughnutChart>
      <c:spPr>
        <a:noFill/>
        <a:ln>
          <a:noFill/>
        </a:ln>
      </c:spPr>
    </c:plotArea>
    <c:plotVisOnly val="1"/>
    <c:dispBlanksAs val="gap"/>
    <c:showDLblsOverMax val="1"/>
  </c:chart>
  <c:spPr>
    <a:noFill/>
    <a:ln>
      <a:noFill/>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04"/>
          <c:w val="1"/>
          <c:h val="0.92"/>
        </c:manualLayout>
      </c:layout>
      <c:doughnutChart>
        <c:varyColors val="1"/>
        <c:ser>
          <c:idx val="0"/>
          <c:order val="0"/>
          <c:tx>
            <c:v>Needle</c:v>
          </c:tx>
          <c:dPt>
            <c:idx val="0"/>
            <c:bubble3D val="0"/>
            <c:spPr>
              <a:solidFill>
                <a:srgbClr val="224674"/>
              </a:solidFill>
              <a:ln w="19050">
                <a:solidFill>
                  <a:srgbClr val="122B4F"/>
                </a:solidFill>
              </a:ln>
            </c:spPr>
            <c:extLst>
              <c:ext xmlns:c16="http://schemas.microsoft.com/office/drawing/2014/chart" uri="{C3380CC4-5D6E-409C-BE32-E72D297353CC}">
                <c16:uniqueId val="{00000001-B22A-4C40-ABEE-FD8317E25511}"/>
              </c:ext>
            </c:extLst>
          </c:dPt>
          <c:dPt>
            <c:idx val="1"/>
            <c:bubble3D val="0"/>
            <c:spPr>
              <a:solidFill>
                <a:srgbClr val="F4F7FC"/>
              </a:solidFill>
              <a:ln w="19050">
                <a:solidFill>
                  <a:srgbClr val="122B4F"/>
                </a:solidFill>
              </a:ln>
            </c:spPr>
            <c:extLst>
              <c:ext xmlns:c16="http://schemas.microsoft.com/office/drawing/2014/chart" uri="{C3380CC4-5D6E-409C-BE32-E72D297353CC}">
                <c16:uniqueId val="{00000003-B22A-4C40-ABEE-FD8317E25511}"/>
              </c:ext>
            </c:extLst>
          </c:dPt>
          <c:dPt>
            <c:idx val="2"/>
            <c:bubble3D val="0"/>
            <c:spPr>
              <a:solidFill>
                <a:srgbClr val="224674"/>
              </a:solidFill>
              <a:ln w="19050">
                <a:solidFill>
                  <a:srgbClr val="122B4F"/>
                </a:solidFill>
              </a:ln>
            </c:spPr>
            <c:extLst>
              <c:ext xmlns:c16="http://schemas.microsoft.com/office/drawing/2014/chart" uri="{C3380CC4-5D6E-409C-BE32-E72D297353CC}">
                <c16:uniqueId val="{00000005-B22A-4C40-ABEE-FD8317E25511}"/>
              </c:ext>
            </c:extLst>
          </c:dPt>
          <c:dPt>
            <c:idx val="3"/>
            <c:bubble3D val="0"/>
            <c:spPr>
              <a:noFill/>
              <a:ln>
                <a:noFill/>
              </a:ln>
            </c:spPr>
            <c:extLst>
              <c:ext xmlns:c16="http://schemas.microsoft.com/office/drawing/2014/chart" uri="{C3380CC4-5D6E-409C-BE32-E72D297353CC}">
                <c16:uniqueId val="{00000007-B22A-4C40-ABEE-FD8317E25511}"/>
              </c:ext>
            </c:extLst>
          </c:dPt>
          <c:val>
            <c:numRef>
              <c:f>'KPI Engine (Final)'!$C$217:$F$217</c:f>
              <c:numCache>
                <c:formatCode>General</c:formatCode>
                <c:ptCount val="4"/>
                <c:pt idx="0" formatCode="0.00">
                  <c:v>97.5</c:v>
                </c:pt>
                <c:pt idx="1">
                  <c:v>2.5</c:v>
                </c:pt>
                <c:pt idx="2" formatCode="0.00">
                  <c:v>0</c:v>
                </c:pt>
                <c:pt idx="3">
                  <c:v>100</c:v>
                </c:pt>
              </c:numCache>
            </c:numRef>
          </c:val>
          <c:extLst>
            <c:ext xmlns:c16="http://schemas.microsoft.com/office/drawing/2014/chart" uri="{C3380CC4-5D6E-409C-BE32-E72D297353CC}">
              <c16:uniqueId val="{00000008-B22A-4C40-ABEE-FD8317E25511}"/>
            </c:ext>
          </c:extLst>
        </c:ser>
        <c:ser>
          <c:idx val="1"/>
          <c:order val="1"/>
          <c:tx>
            <c:v>Dial zones</c:v>
          </c:tx>
          <c:dPt>
            <c:idx val="0"/>
            <c:bubble3D val="0"/>
            <c:spPr>
              <a:solidFill>
                <a:srgbClr val="E4572E"/>
              </a:solidFill>
              <a:ln w="19050">
                <a:solidFill>
                  <a:srgbClr val="122B4F"/>
                </a:solidFill>
              </a:ln>
            </c:spPr>
            <c:extLst>
              <c:ext xmlns:c16="http://schemas.microsoft.com/office/drawing/2014/chart" uri="{C3380CC4-5D6E-409C-BE32-E72D297353CC}">
                <c16:uniqueId val="{0000000A-B22A-4C40-ABEE-FD8317E25511}"/>
              </c:ext>
            </c:extLst>
          </c:dPt>
          <c:dPt>
            <c:idx val="1"/>
            <c:bubble3D val="0"/>
            <c:spPr>
              <a:solidFill>
                <a:srgbClr val="E3B341"/>
              </a:solidFill>
              <a:ln w="19050">
                <a:solidFill>
                  <a:srgbClr val="122B4F"/>
                </a:solidFill>
              </a:ln>
            </c:spPr>
            <c:extLst>
              <c:ext xmlns:c16="http://schemas.microsoft.com/office/drawing/2014/chart" uri="{C3380CC4-5D6E-409C-BE32-E72D297353CC}">
                <c16:uniqueId val="{0000000C-B22A-4C40-ABEE-FD8317E25511}"/>
              </c:ext>
            </c:extLst>
          </c:dPt>
          <c:dPt>
            <c:idx val="2"/>
            <c:bubble3D val="0"/>
            <c:spPr>
              <a:solidFill>
                <a:srgbClr val="2FBF9B"/>
              </a:solidFill>
              <a:ln w="19050">
                <a:solidFill>
                  <a:srgbClr val="122B4F"/>
                </a:solidFill>
              </a:ln>
            </c:spPr>
            <c:extLst>
              <c:ext xmlns:c16="http://schemas.microsoft.com/office/drawing/2014/chart" uri="{C3380CC4-5D6E-409C-BE32-E72D297353CC}">
                <c16:uniqueId val="{0000000E-B22A-4C40-ABEE-FD8317E25511}"/>
              </c:ext>
            </c:extLst>
          </c:dPt>
          <c:dPt>
            <c:idx val="3"/>
            <c:bubble3D val="0"/>
            <c:spPr>
              <a:noFill/>
              <a:ln>
                <a:noFill/>
              </a:ln>
            </c:spPr>
            <c:extLst>
              <c:ext xmlns:c16="http://schemas.microsoft.com/office/drawing/2014/chart" uri="{C3380CC4-5D6E-409C-BE32-E72D297353CC}">
                <c16:uniqueId val="{00000010-B22A-4C40-ABEE-FD8317E25511}"/>
              </c:ext>
            </c:extLst>
          </c:dPt>
          <c:val>
            <c:numRef>
              <c:f>'KPI Engine (Final)'!$B$205:$E$205</c:f>
              <c:numCache>
                <c:formatCode>General</c:formatCode>
                <c:ptCount val="4"/>
                <c:pt idx="0">
                  <c:v>75</c:v>
                </c:pt>
                <c:pt idx="1">
                  <c:v>15</c:v>
                </c:pt>
                <c:pt idx="2">
                  <c:v>10</c:v>
                </c:pt>
                <c:pt idx="3">
                  <c:v>100</c:v>
                </c:pt>
              </c:numCache>
            </c:numRef>
          </c:val>
          <c:extLst>
            <c:ext xmlns:c16="http://schemas.microsoft.com/office/drawing/2014/chart" uri="{C3380CC4-5D6E-409C-BE32-E72D297353CC}">
              <c16:uniqueId val="{00000011-B22A-4C40-ABEE-FD8317E25511}"/>
            </c:ext>
          </c:extLst>
        </c:ser>
        <c:dLbls>
          <c:showLegendKey val="0"/>
          <c:showVal val="0"/>
          <c:showCatName val="0"/>
          <c:showSerName val="0"/>
          <c:showPercent val="0"/>
          <c:showBubbleSize val="0"/>
          <c:showLeaderLines val="0"/>
        </c:dLbls>
        <c:firstSliceAng val="270"/>
        <c:holeSize val="66"/>
      </c:doughnutChart>
      <c:spPr>
        <a:noFill/>
        <a:ln>
          <a:noFill/>
        </a:ln>
      </c:spPr>
    </c:plotArea>
    <c:plotVisOnly val="1"/>
    <c:dispBlanksAs val="gap"/>
    <c:showDLblsOverMax val="1"/>
  </c:chart>
  <c:spPr>
    <a:noFill/>
    <a:ln>
      <a:noFill/>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04"/>
          <c:w val="1"/>
          <c:h val="0.92"/>
        </c:manualLayout>
      </c:layout>
      <c:doughnutChart>
        <c:varyColors val="1"/>
        <c:ser>
          <c:idx val="0"/>
          <c:order val="0"/>
          <c:tx>
            <c:v>Needle</c:v>
          </c:tx>
          <c:dPt>
            <c:idx val="0"/>
            <c:bubble3D val="0"/>
            <c:spPr>
              <a:solidFill>
                <a:srgbClr val="224674"/>
              </a:solidFill>
              <a:ln w="19050">
                <a:solidFill>
                  <a:srgbClr val="122B4F"/>
                </a:solidFill>
              </a:ln>
            </c:spPr>
            <c:extLst>
              <c:ext xmlns:c16="http://schemas.microsoft.com/office/drawing/2014/chart" uri="{C3380CC4-5D6E-409C-BE32-E72D297353CC}">
                <c16:uniqueId val="{00000001-BD39-4C8E-8CE7-9960193738E6}"/>
              </c:ext>
            </c:extLst>
          </c:dPt>
          <c:dPt>
            <c:idx val="1"/>
            <c:bubble3D val="0"/>
            <c:spPr>
              <a:solidFill>
                <a:srgbClr val="F4F7FC"/>
              </a:solidFill>
              <a:ln w="19050">
                <a:solidFill>
                  <a:srgbClr val="122B4F"/>
                </a:solidFill>
              </a:ln>
            </c:spPr>
            <c:extLst>
              <c:ext xmlns:c16="http://schemas.microsoft.com/office/drawing/2014/chart" uri="{C3380CC4-5D6E-409C-BE32-E72D297353CC}">
                <c16:uniqueId val="{00000003-BD39-4C8E-8CE7-9960193738E6}"/>
              </c:ext>
            </c:extLst>
          </c:dPt>
          <c:dPt>
            <c:idx val="2"/>
            <c:bubble3D val="0"/>
            <c:spPr>
              <a:solidFill>
                <a:srgbClr val="224674"/>
              </a:solidFill>
              <a:ln w="19050">
                <a:solidFill>
                  <a:srgbClr val="122B4F"/>
                </a:solidFill>
              </a:ln>
            </c:spPr>
            <c:extLst>
              <c:ext xmlns:c16="http://schemas.microsoft.com/office/drawing/2014/chart" uri="{C3380CC4-5D6E-409C-BE32-E72D297353CC}">
                <c16:uniqueId val="{00000005-BD39-4C8E-8CE7-9960193738E6}"/>
              </c:ext>
            </c:extLst>
          </c:dPt>
          <c:dPt>
            <c:idx val="3"/>
            <c:bubble3D val="0"/>
            <c:spPr>
              <a:noFill/>
              <a:ln>
                <a:noFill/>
              </a:ln>
            </c:spPr>
            <c:extLst>
              <c:ext xmlns:c16="http://schemas.microsoft.com/office/drawing/2014/chart" uri="{C3380CC4-5D6E-409C-BE32-E72D297353CC}">
                <c16:uniqueId val="{00000007-BD39-4C8E-8CE7-9960193738E6}"/>
              </c:ext>
            </c:extLst>
          </c:dPt>
          <c:val>
            <c:numRef>
              <c:f>'KPI Engine (Final)'!$C$218:$F$218</c:f>
              <c:numCache>
                <c:formatCode>General</c:formatCode>
                <c:ptCount val="4"/>
                <c:pt idx="0" formatCode="0.00">
                  <c:v>97.5</c:v>
                </c:pt>
                <c:pt idx="1">
                  <c:v>2.5</c:v>
                </c:pt>
                <c:pt idx="2" formatCode="0.00">
                  <c:v>0</c:v>
                </c:pt>
                <c:pt idx="3">
                  <c:v>100</c:v>
                </c:pt>
              </c:numCache>
            </c:numRef>
          </c:val>
          <c:extLst>
            <c:ext xmlns:c16="http://schemas.microsoft.com/office/drawing/2014/chart" uri="{C3380CC4-5D6E-409C-BE32-E72D297353CC}">
              <c16:uniqueId val="{00000008-BD39-4C8E-8CE7-9960193738E6}"/>
            </c:ext>
          </c:extLst>
        </c:ser>
        <c:ser>
          <c:idx val="1"/>
          <c:order val="1"/>
          <c:tx>
            <c:v>Dial zones</c:v>
          </c:tx>
          <c:dPt>
            <c:idx val="0"/>
            <c:bubble3D val="0"/>
            <c:spPr>
              <a:solidFill>
                <a:srgbClr val="E4572E"/>
              </a:solidFill>
              <a:ln w="19050">
                <a:solidFill>
                  <a:srgbClr val="122B4F"/>
                </a:solidFill>
              </a:ln>
            </c:spPr>
            <c:extLst>
              <c:ext xmlns:c16="http://schemas.microsoft.com/office/drawing/2014/chart" uri="{C3380CC4-5D6E-409C-BE32-E72D297353CC}">
                <c16:uniqueId val="{0000000A-BD39-4C8E-8CE7-9960193738E6}"/>
              </c:ext>
            </c:extLst>
          </c:dPt>
          <c:dPt>
            <c:idx val="1"/>
            <c:bubble3D val="0"/>
            <c:spPr>
              <a:solidFill>
                <a:srgbClr val="E3B341"/>
              </a:solidFill>
              <a:ln w="19050">
                <a:solidFill>
                  <a:srgbClr val="122B4F"/>
                </a:solidFill>
              </a:ln>
            </c:spPr>
            <c:extLst>
              <c:ext xmlns:c16="http://schemas.microsoft.com/office/drawing/2014/chart" uri="{C3380CC4-5D6E-409C-BE32-E72D297353CC}">
                <c16:uniqueId val="{0000000C-BD39-4C8E-8CE7-9960193738E6}"/>
              </c:ext>
            </c:extLst>
          </c:dPt>
          <c:dPt>
            <c:idx val="2"/>
            <c:bubble3D val="0"/>
            <c:spPr>
              <a:solidFill>
                <a:srgbClr val="2FBF9B"/>
              </a:solidFill>
              <a:ln w="19050">
                <a:solidFill>
                  <a:srgbClr val="122B4F"/>
                </a:solidFill>
              </a:ln>
            </c:spPr>
            <c:extLst>
              <c:ext xmlns:c16="http://schemas.microsoft.com/office/drawing/2014/chart" uri="{C3380CC4-5D6E-409C-BE32-E72D297353CC}">
                <c16:uniqueId val="{0000000E-BD39-4C8E-8CE7-9960193738E6}"/>
              </c:ext>
            </c:extLst>
          </c:dPt>
          <c:dPt>
            <c:idx val="3"/>
            <c:bubble3D val="0"/>
            <c:spPr>
              <a:noFill/>
              <a:ln>
                <a:noFill/>
              </a:ln>
            </c:spPr>
            <c:extLst>
              <c:ext xmlns:c16="http://schemas.microsoft.com/office/drawing/2014/chart" uri="{C3380CC4-5D6E-409C-BE32-E72D297353CC}">
                <c16:uniqueId val="{00000010-BD39-4C8E-8CE7-9960193738E6}"/>
              </c:ext>
            </c:extLst>
          </c:dPt>
          <c:val>
            <c:numRef>
              <c:f>'KPI Engine (Final)'!$B$205:$E$205</c:f>
              <c:numCache>
                <c:formatCode>General</c:formatCode>
                <c:ptCount val="4"/>
                <c:pt idx="0">
                  <c:v>75</c:v>
                </c:pt>
                <c:pt idx="1">
                  <c:v>15</c:v>
                </c:pt>
                <c:pt idx="2">
                  <c:v>10</c:v>
                </c:pt>
                <c:pt idx="3">
                  <c:v>100</c:v>
                </c:pt>
              </c:numCache>
            </c:numRef>
          </c:val>
          <c:extLst>
            <c:ext xmlns:c16="http://schemas.microsoft.com/office/drawing/2014/chart" uri="{C3380CC4-5D6E-409C-BE32-E72D297353CC}">
              <c16:uniqueId val="{00000011-BD39-4C8E-8CE7-9960193738E6}"/>
            </c:ext>
          </c:extLst>
        </c:ser>
        <c:dLbls>
          <c:showLegendKey val="0"/>
          <c:showVal val="0"/>
          <c:showCatName val="0"/>
          <c:showSerName val="0"/>
          <c:showPercent val="0"/>
          <c:showBubbleSize val="0"/>
          <c:showLeaderLines val="0"/>
        </c:dLbls>
        <c:firstSliceAng val="270"/>
        <c:holeSize val="66"/>
      </c:doughnutChart>
      <c:spPr>
        <a:noFill/>
        <a:ln>
          <a:noFill/>
        </a:ln>
      </c:spPr>
    </c:plotArea>
    <c:plotVisOnly val="1"/>
    <c:dispBlanksAs val="gap"/>
    <c:showDLblsOverMax val="1"/>
  </c:chart>
  <c:spPr>
    <a:noFill/>
    <a:ln>
      <a:noFill/>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04"/>
          <c:w val="1"/>
          <c:h val="0.92"/>
        </c:manualLayout>
      </c:layout>
      <c:doughnutChart>
        <c:varyColors val="1"/>
        <c:ser>
          <c:idx val="0"/>
          <c:order val="0"/>
          <c:tx>
            <c:v>Needle</c:v>
          </c:tx>
          <c:dPt>
            <c:idx val="0"/>
            <c:bubble3D val="0"/>
            <c:spPr>
              <a:solidFill>
                <a:srgbClr val="224674"/>
              </a:solidFill>
              <a:ln w="19050">
                <a:solidFill>
                  <a:srgbClr val="122B4F"/>
                </a:solidFill>
              </a:ln>
            </c:spPr>
            <c:extLst>
              <c:ext xmlns:c16="http://schemas.microsoft.com/office/drawing/2014/chart" uri="{C3380CC4-5D6E-409C-BE32-E72D297353CC}">
                <c16:uniqueId val="{00000001-603F-4EFB-9C27-0BE6AAA3AA99}"/>
              </c:ext>
            </c:extLst>
          </c:dPt>
          <c:dPt>
            <c:idx val="1"/>
            <c:bubble3D val="0"/>
            <c:spPr>
              <a:solidFill>
                <a:srgbClr val="F4F7FC"/>
              </a:solidFill>
              <a:ln w="19050">
                <a:solidFill>
                  <a:srgbClr val="122B4F"/>
                </a:solidFill>
              </a:ln>
            </c:spPr>
            <c:extLst>
              <c:ext xmlns:c16="http://schemas.microsoft.com/office/drawing/2014/chart" uri="{C3380CC4-5D6E-409C-BE32-E72D297353CC}">
                <c16:uniqueId val="{00000003-603F-4EFB-9C27-0BE6AAA3AA99}"/>
              </c:ext>
            </c:extLst>
          </c:dPt>
          <c:dPt>
            <c:idx val="2"/>
            <c:bubble3D val="0"/>
            <c:spPr>
              <a:solidFill>
                <a:srgbClr val="224674"/>
              </a:solidFill>
              <a:ln w="19050">
                <a:solidFill>
                  <a:srgbClr val="122B4F"/>
                </a:solidFill>
              </a:ln>
            </c:spPr>
            <c:extLst>
              <c:ext xmlns:c16="http://schemas.microsoft.com/office/drawing/2014/chart" uri="{C3380CC4-5D6E-409C-BE32-E72D297353CC}">
                <c16:uniqueId val="{00000005-603F-4EFB-9C27-0BE6AAA3AA99}"/>
              </c:ext>
            </c:extLst>
          </c:dPt>
          <c:dPt>
            <c:idx val="3"/>
            <c:bubble3D val="0"/>
            <c:spPr>
              <a:noFill/>
              <a:ln>
                <a:noFill/>
              </a:ln>
            </c:spPr>
            <c:extLst>
              <c:ext xmlns:c16="http://schemas.microsoft.com/office/drawing/2014/chart" uri="{C3380CC4-5D6E-409C-BE32-E72D297353CC}">
                <c16:uniqueId val="{00000007-603F-4EFB-9C27-0BE6AAA3AA99}"/>
              </c:ext>
            </c:extLst>
          </c:dPt>
          <c:val>
            <c:numRef>
              <c:f>'KPI Engine (Final)'!$C$219:$F$219</c:f>
              <c:numCache>
                <c:formatCode>General</c:formatCode>
                <c:ptCount val="4"/>
                <c:pt idx="0" formatCode="0.00">
                  <c:v>97.5</c:v>
                </c:pt>
                <c:pt idx="1">
                  <c:v>2.5</c:v>
                </c:pt>
                <c:pt idx="2" formatCode="0.00">
                  <c:v>0</c:v>
                </c:pt>
                <c:pt idx="3">
                  <c:v>100</c:v>
                </c:pt>
              </c:numCache>
            </c:numRef>
          </c:val>
          <c:extLst>
            <c:ext xmlns:c16="http://schemas.microsoft.com/office/drawing/2014/chart" uri="{C3380CC4-5D6E-409C-BE32-E72D297353CC}">
              <c16:uniqueId val="{00000008-603F-4EFB-9C27-0BE6AAA3AA99}"/>
            </c:ext>
          </c:extLst>
        </c:ser>
        <c:ser>
          <c:idx val="1"/>
          <c:order val="1"/>
          <c:tx>
            <c:v>Dial zones</c:v>
          </c:tx>
          <c:dPt>
            <c:idx val="0"/>
            <c:bubble3D val="0"/>
            <c:spPr>
              <a:solidFill>
                <a:srgbClr val="E4572E"/>
              </a:solidFill>
              <a:ln w="19050">
                <a:solidFill>
                  <a:srgbClr val="122B4F"/>
                </a:solidFill>
              </a:ln>
            </c:spPr>
            <c:extLst>
              <c:ext xmlns:c16="http://schemas.microsoft.com/office/drawing/2014/chart" uri="{C3380CC4-5D6E-409C-BE32-E72D297353CC}">
                <c16:uniqueId val="{0000000A-603F-4EFB-9C27-0BE6AAA3AA99}"/>
              </c:ext>
            </c:extLst>
          </c:dPt>
          <c:dPt>
            <c:idx val="1"/>
            <c:bubble3D val="0"/>
            <c:spPr>
              <a:solidFill>
                <a:srgbClr val="E3B341"/>
              </a:solidFill>
              <a:ln w="19050">
                <a:solidFill>
                  <a:srgbClr val="122B4F"/>
                </a:solidFill>
              </a:ln>
            </c:spPr>
            <c:extLst>
              <c:ext xmlns:c16="http://schemas.microsoft.com/office/drawing/2014/chart" uri="{C3380CC4-5D6E-409C-BE32-E72D297353CC}">
                <c16:uniqueId val="{0000000C-603F-4EFB-9C27-0BE6AAA3AA99}"/>
              </c:ext>
            </c:extLst>
          </c:dPt>
          <c:dPt>
            <c:idx val="2"/>
            <c:bubble3D val="0"/>
            <c:spPr>
              <a:solidFill>
                <a:srgbClr val="2FBF9B"/>
              </a:solidFill>
              <a:ln w="19050">
                <a:solidFill>
                  <a:srgbClr val="122B4F"/>
                </a:solidFill>
              </a:ln>
            </c:spPr>
            <c:extLst>
              <c:ext xmlns:c16="http://schemas.microsoft.com/office/drawing/2014/chart" uri="{C3380CC4-5D6E-409C-BE32-E72D297353CC}">
                <c16:uniqueId val="{0000000E-603F-4EFB-9C27-0BE6AAA3AA99}"/>
              </c:ext>
            </c:extLst>
          </c:dPt>
          <c:dPt>
            <c:idx val="3"/>
            <c:bubble3D val="0"/>
            <c:spPr>
              <a:noFill/>
              <a:ln>
                <a:noFill/>
              </a:ln>
            </c:spPr>
            <c:extLst>
              <c:ext xmlns:c16="http://schemas.microsoft.com/office/drawing/2014/chart" uri="{C3380CC4-5D6E-409C-BE32-E72D297353CC}">
                <c16:uniqueId val="{00000010-603F-4EFB-9C27-0BE6AAA3AA99}"/>
              </c:ext>
            </c:extLst>
          </c:dPt>
          <c:val>
            <c:numRef>
              <c:f>'KPI Engine (Final)'!$B$205:$E$205</c:f>
              <c:numCache>
                <c:formatCode>General</c:formatCode>
                <c:ptCount val="4"/>
                <c:pt idx="0">
                  <c:v>75</c:v>
                </c:pt>
                <c:pt idx="1">
                  <c:v>15</c:v>
                </c:pt>
                <c:pt idx="2">
                  <c:v>10</c:v>
                </c:pt>
                <c:pt idx="3">
                  <c:v>100</c:v>
                </c:pt>
              </c:numCache>
            </c:numRef>
          </c:val>
          <c:extLst>
            <c:ext xmlns:c16="http://schemas.microsoft.com/office/drawing/2014/chart" uri="{C3380CC4-5D6E-409C-BE32-E72D297353CC}">
              <c16:uniqueId val="{00000011-603F-4EFB-9C27-0BE6AAA3AA99}"/>
            </c:ext>
          </c:extLst>
        </c:ser>
        <c:dLbls>
          <c:showLegendKey val="0"/>
          <c:showVal val="0"/>
          <c:showCatName val="0"/>
          <c:showSerName val="0"/>
          <c:showPercent val="0"/>
          <c:showBubbleSize val="0"/>
          <c:showLeaderLines val="0"/>
        </c:dLbls>
        <c:firstSliceAng val="270"/>
        <c:holeSize val="66"/>
      </c:doughnutChart>
      <c:spPr>
        <a:noFill/>
        <a:ln>
          <a:noFill/>
        </a:ln>
      </c:spPr>
    </c:plotArea>
    <c:plotVisOnly val="1"/>
    <c:dispBlanksAs val="gap"/>
    <c:showDLblsOverMax val="1"/>
  </c:chart>
  <c:spPr>
    <a:noFill/>
    <a:ln>
      <a:noFill/>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04"/>
          <c:w val="1"/>
          <c:h val="0.92"/>
        </c:manualLayout>
      </c:layout>
      <c:doughnutChart>
        <c:varyColors val="1"/>
        <c:ser>
          <c:idx val="0"/>
          <c:order val="0"/>
          <c:tx>
            <c:v>Needle</c:v>
          </c:tx>
          <c:dPt>
            <c:idx val="0"/>
            <c:bubble3D val="0"/>
            <c:spPr>
              <a:solidFill>
                <a:srgbClr val="224674"/>
              </a:solidFill>
              <a:ln w="19050">
                <a:solidFill>
                  <a:srgbClr val="122B4F"/>
                </a:solidFill>
              </a:ln>
            </c:spPr>
            <c:extLst>
              <c:ext xmlns:c16="http://schemas.microsoft.com/office/drawing/2014/chart" uri="{C3380CC4-5D6E-409C-BE32-E72D297353CC}">
                <c16:uniqueId val="{00000001-E651-421C-B658-285A6C773572}"/>
              </c:ext>
            </c:extLst>
          </c:dPt>
          <c:dPt>
            <c:idx val="1"/>
            <c:bubble3D val="0"/>
            <c:spPr>
              <a:solidFill>
                <a:srgbClr val="F4F7FC"/>
              </a:solidFill>
              <a:ln w="19050">
                <a:solidFill>
                  <a:srgbClr val="122B4F"/>
                </a:solidFill>
              </a:ln>
            </c:spPr>
            <c:extLst>
              <c:ext xmlns:c16="http://schemas.microsoft.com/office/drawing/2014/chart" uri="{C3380CC4-5D6E-409C-BE32-E72D297353CC}">
                <c16:uniqueId val="{00000003-E651-421C-B658-285A6C773572}"/>
              </c:ext>
            </c:extLst>
          </c:dPt>
          <c:dPt>
            <c:idx val="2"/>
            <c:bubble3D val="0"/>
            <c:spPr>
              <a:solidFill>
                <a:srgbClr val="224674"/>
              </a:solidFill>
              <a:ln w="19050">
                <a:solidFill>
                  <a:srgbClr val="122B4F"/>
                </a:solidFill>
              </a:ln>
            </c:spPr>
            <c:extLst>
              <c:ext xmlns:c16="http://schemas.microsoft.com/office/drawing/2014/chart" uri="{C3380CC4-5D6E-409C-BE32-E72D297353CC}">
                <c16:uniqueId val="{00000005-E651-421C-B658-285A6C773572}"/>
              </c:ext>
            </c:extLst>
          </c:dPt>
          <c:dPt>
            <c:idx val="3"/>
            <c:bubble3D val="0"/>
            <c:spPr>
              <a:noFill/>
              <a:ln>
                <a:noFill/>
              </a:ln>
            </c:spPr>
            <c:extLst>
              <c:ext xmlns:c16="http://schemas.microsoft.com/office/drawing/2014/chart" uri="{C3380CC4-5D6E-409C-BE32-E72D297353CC}">
                <c16:uniqueId val="{00000007-E651-421C-B658-285A6C773572}"/>
              </c:ext>
            </c:extLst>
          </c:dPt>
          <c:val>
            <c:numRef>
              <c:f>'KPI Engine (Final)'!$C$220:$F$220</c:f>
              <c:numCache>
                <c:formatCode>General</c:formatCode>
                <c:ptCount val="4"/>
                <c:pt idx="0" formatCode="0.00">
                  <c:v>88.006198347107443</c:v>
                </c:pt>
                <c:pt idx="1">
                  <c:v>2.5</c:v>
                </c:pt>
                <c:pt idx="2" formatCode="0.00">
                  <c:v>9.4938016528925573</c:v>
                </c:pt>
                <c:pt idx="3">
                  <c:v>100</c:v>
                </c:pt>
              </c:numCache>
            </c:numRef>
          </c:val>
          <c:extLst>
            <c:ext xmlns:c16="http://schemas.microsoft.com/office/drawing/2014/chart" uri="{C3380CC4-5D6E-409C-BE32-E72D297353CC}">
              <c16:uniqueId val="{00000008-E651-421C-B658-285A6C773572}"/>
            </c:ext>
          </c:extLst>
        </c:ser>
        <c:ser>
          <c:idx val="1"/>
          <c:order val="1"/>
          <c:tx>
            <c:v>Dial zones</c:v>
          </c:tx>
          <c:dPt>
            <c:idx val="0"/>
            <c:bubble3D val="0"/>
            <c:spPr>
              <a:solidFill>
                <a:srgbClr val="E4572E"/>
              </a:solidFill>
              <a:ln w="19050">
                <a:solidFill>
                  <a:srgbClr val="122B4F"/>
                </a:solidFill>
              </a:ln>
            </c:spPr>
            <c:extLst>
              <c:ext xmlns:c16="http://schemas.microsoft.com/office/drawing/2014/chart" uri="{C3380CC4-5D6E-409C-BE32-E72D297353CC}">
                <c16:uniqueId val="{0000000A-E651-421C-B658-285A6C773572}"/>
              </c:ext>
            </c:extLst>
          </c:dPt>
          <c:dPt>
            <c:idx val="1"/>
            <c:bubble3D val="0"/>
            <c:spPr>
              <a:solidFill>
                <a:srgbClr val="E3B341"/>
              </a:solidFill>
              <a:ln w="19050">
                <a:solidFill>
                  <a:srgbClr val="122B4F"/>
                </a:solidFill>
              </a:ln>
            </c:spPr>
            <c:extLst>
              <c:ext xmlns:c16="http://schemas.microsoft.com/office/drawing/2014/chart" uri="{C3380CC4-5D6E-409C-BE32-E72D297353CC}">
                <c16:uniqueId val="{0000000C-E651-421C-B658-285A6C773572}"/>
              </c:ext>
            </c:extLst>
          </c:dPt>
          <c:dPt>
            <c:idx val="2"/>
            <c:bubble3D val="0"/>
            <c:spPr>
              <a:solidFill>
                <a:srgbClr val="2FBF9B"/>
              </a:solidFill>
              <a:ln w="19050">
                <a:solidFill>
                  <a:srgbClr val="122B4F"/>
                </a:solidFill>
              </a:ln>
            </c:spPr>
            <c:extLst>
              <c:ext xmlns:c16="http://schemas.microsoft.com/office/drawing/2014/chart" uri="{C3380CC4-5D6E-409C-BE32-E72D297353CC}">
                <c16:uniqueId val="{0000000E-E651-421C-B658-285A6C773572}"/>
              </c:ext>
            </c:extLst>
          </c:dPt>
          <c:dPt>
            <c:idx val="3"/>
            <c:bubble3D val="0"/>
            <c:spPr>
              <a:noFill/>
              <a:ln>
                <a:noFill/>
              </a:ln>
            </c:spPr>
            <c:extLst>
              <c:ext xmlns:c16="http://schemas.microsoft.com/office/drawing/2014/chart" uri="{C3380CC4-5D6E-409C-BE32-E72D297353CC}">
                <c16:uniqueId val="{00000010-E651-421C-B658-285A6C773572}"/>
              </c:ext>
            </c:extLst>
          </c:dPt>
          <c:val>
            <c:numRef>
              <c:f>'KPI Engine (Final)'!$B$205:$E$205</c:f>
              <c:numCache>
                <c:formatCode>General</c:formatCode>
                <c:ptCount val="4"/>
                <c:pt idx="0">
                  <c:v>75</c:v>
                </c:pt>
                <c:pt idx="1">
                  <c:v>15</c:v>
                </c:pt>
                <c:pt idx="2">
                  <c:v>10</c:v>
                </c:pt>
                <c:pt idx="3">
                  <c:v>100</c:v>
                </c:pt>
              </c:numCache>
            </c:numRef>
          </c:val>
          <c:extLst>
            <c:ext xmlns:c16="http://schemas.microsoft.com/office/drawing/2014/chart" uri="{C3380CC4-5D6E-409C-BE32-E72D297353CC}">
              <c16:uniqueId val="{00000011-E651-421C-B658-285A6C773572}"/>
            </c:ext>
          </c:extLst>
        </c:ser>
        <c:dLbls>
          <c:showLegendKey val="0"/>
          <c:showVal val="0"/>
          <c:showCatName val="0"/>
          <c:showSerName val="0"/>
          <c:showPercent val="0"/>
          <c:showBubbleSize val="0"/>
          <c:showLeaderLines val="0"/>
        </c:dLbls>
        <c:firstSliceAng val="270"/>
        <c:holeSize val="66"/>
      </c:doughnutChart>
      <c:spPr>
        <a:noFill/>
        <a:ln>
          <a:noFill/>
        </a:ln>
      </c:spPr>
    </c:plotArea>
    <c:plotVisOnly val="1"/>
    <c:dispBlanksAs val="gap"/>
    <c:showDLblsOverMax val="1"/>
  </c:chart>
  <c:spPr>
    <a:noFill/>
    <a:ln>
      <a:noFill/>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04"/>
          <c:w val="1"/>
          <c:h val="0.92"/>
        </c:manualLayout>
      </c:layout>
      <c:doughnutChart>
        <c:varyColors val="1"/>
        <c:ser>
          <c:idx val="0"/>
          <c:order val="0"/>
          <c:tx>
            <c:v>Needle</c:v>
          </c:tx>
          <c:dPt>
            <c:idx val="0"/>
            <c:bubble3D val="0"/>
            <c:spPr>
              <a:solidFill>
                <a:srgbClr val="224674"/>
              </a:solidFill>
              <a:ln w="19050">
                <a:solidFill>
                  <a:srgbClr val="122B4F"/>
                </a:solidFill>
              </a:ln>
            </c:spPr>
            <c:extLst>
              <c:ext xmlns:c16="http://schemas.microsoft.com/office/drawing/2014/chart" uri="{C3380CC4-5D6E-409C-BE32-E72D297353CC}">
                <c16:uniqueId val="{00000001-F3EF-4FFF-B0CE-899ADF94D133}"/>
              </c:ext>
            </c:extLst>
          </c:dPt>
          <c:dPt>
            <c:idx val="1"/>
            <c:bubble3D val="0"/>
            <c:spPr>
              <a:solidFill>
                <a:srgbClr val="F4F7FC"/>
              </a:solidFill>
              <a:ln w="19050">
                <a:solidFill>
                  <a:srgbClr val="122B4F"/>
                </a:solidFill>
              </a:ln>
            </c:spPr>
            <c:extLst>
              <c:ext xmlns:c16="http://schemas.microsoft.com/office/drawing/2014/chart" uri="{C3380CC4-5D6E-409C-BE32-E72D297353CC}">
                <c16:uniqueId val="{00000003-F3EF-4FFF-B0CE-899ADF94D133}"/>
              </c:ext>
            </c:extLst>
          </c:dPt>
          <c:dPt>
            <c:idx val="2"/>
            <c:bubble3D val="0"/>
            <c:spPr>
              <a:solidFill>
                <a:srgbClr val="224674"/>
              </a:solidFill>
              <a:ln w="19050">
                <a:solidFill>
                  <a:srgbClr val="122B4F"/>
                </a:solidFill>
              </a:ln>
            </c:spPr>
            <c:extLst>
              <c:ext xmlns:c16="http://schemas.microsoft.com/office/drawing/2014/chart" uri="{C3380CC4-5D6E-409C-BE32-E72D297353CC}">
                <c16:uniqueId val="{00000005-F3EF-4FFF-B0CE-899ADF94D133}"/>
              </c:ext>
            </c:extLst>
          </c:dPt>
          <c:dPt>
            <c:idx val="3"/>
            <c:bubble3D val="0"/>
            <c:spPr>
              <a:noFill/>
              <a:ln>
                <a:noFill/>
              </a:ln>
            </c:spPr>
            <c:extLst>
              <c:ext xmlns:c16="http://schemas.microsoft.com/office/drawing/2014/chart" uri="{C3380CC4-5D6E-409C-BE32-E72D297353CC}">
                <c16:uniqueId val="{00000007-F3EF-4FFF-B0CE-899ADF94D133}"/>
              </c:ext>
            </c:extLst>
          </c:dPt>
          <c:val>
            <c:numRef>
              <c:f>'KPI Engine (Final)'!$C$221:$F$221</c:f>
              <c:numCache>
                <c:formatCode>General</c:formatCode>
                <c:ptCount val="4"/>
                <c:pt idx="0" formatCode="0.00">
                  <c:v>97.5</c:v>
                </c:pt>
                <c:pt idx="1">
                  <c:v>2.5</c:v>
                </c:pt>
                <c:pt idx="2" formatCode="0.00">
                  <c:v>0</c:v>
                </c:pt>
                <c:pt idx="3">
                  <c:v>100</c:v>
                </c:pt>
              </c:numCache>
            </c:numRef>
          </c:val>
          <c:extLst>
            <c:ext xmlns:c16="http://schemas.microsoft.com/office/drawing/2014/chart" uri="{C3380CC4-5D6E-409C-BE32-E72D297353CC}">
              <c16:uniqueId val="{00000008-F3EF-4FFF-B0CE-899ADF94D133}"/>
            </c:ext>
          </c:extLst>
        </c:ser>
        <c:ser>
          <c:idx val="1"/>
          <c:order val="1"/>
          <c:tx>
            <c:v>Dial zones</c:v>
          </c:tx>
          <c:dPt>
            <c:idx val="0"/>
            <c:bubble3D val="0"/>
            <c:spPr>
              <a:solidFill>
                <a:srgbClr val="E4572E"/>
              </a:solidFill>
              <a:ln w="19050">
                <a:solidFill>
                  <a:srgbClr val="122B4F"/>
                </a:solidFill>
              </a:ln>
            </c:spPr>
            <c:extLst>
              <c:ext xmlns:c16="http://schemas.microsoft.com/office/drawing/2014/chart" uri="{C3380CC4-5D6E-409C-BE32-E72D297353CC}">
                <c16:uniqueId val="{0000000A-F3EF-4FFF-B0CE-899ADF94D133}"/>
              </c:ext>
            </c:extLst>
          </c:dPt>
          <c:dPt>
            <c:idx val="1"/>
            <c:bubble3D val="0"/>
            <c:spPr>
              <a:solidFill>
                <a:srgbClr val="E3B341"/>
              </a:solidFill>
              <a:ln w="19050">
                <a:solidFill>
                  <a:srgbClr val="122B4F"/>
                </a:solidFill>
              </a:ln>
            </c:spPr>
            <c:extLst>
              <c:ext xmlns:c16="http://schemas.microsoft.com/office/drawing/2014/chart" uri="{C3380CC4-5D6E-409C-BE32-E72D297353CC}">
                <c16:uniqueId val="{0000000C-F3EF-4FFF-B0CE-899ADF94D133}"/>
              </c:ext>
            </c:extLst>
          </c:dPt>
          <c:dPt>
            <c:idx val="2"/>
            <c:bubble3D val="0"/>
            <c:spPr>
              <a:solidFill>
                <a:srgbClr val="2FBF9B"/>
              </a:solidFill>
              <a:ln w="19050">
                <a:solidFill>
                  <a:srgbClr val="122B4F"/>
                </a:solidFill>
              </a:ln>
            </c:spPr>
            <c:extLst>
              <c:ext xmlns:c16="http://schemas.microsoft.com/office/drawing/2014/chart" uri="{C3380CC4-5D6E-409C-BE32-E72D297353CC}">
                <c16:uniqueId val="{0000000E-F3EF-4FFF-B0CE-899ADF94D133}"/>
              </c:ext>
            </c:extLst>
          </c:dPt>
          <c:dPt>
            <c:idx val="3"/>
            <c:bubble3D val="0"/>
            <c:spPr>
              <a:noFill/>
              <a:ln>
                <a:noFill/>
              </a:ln>
            </c:spPr>
            <c:extLst>
              <c:ext xmlns:c16="http://schemas.microsoft.com/office/drawing/2014/chart" uri="{C3380CC4-5D6E-409C-BE32-E72D297353CC}">
                <c16:uniqueId val="{00000010-F3EF-4FFF-B0CE-899ADF94D133}"/>
              </c:ext>
            </c:extLst>
          </c:dPt>
          <c:val>
            <c:numRef>
              <c:f>'KPI Engine (Final)'!$B$205:$E$205</c:f>
              <c:numCache>
                <c:formatCode>General</c:formatCode>
                <c:ptCount val="4"/>
                <c:pt idx="0">
                  <c:v>75</c:v>
                </c:pt>
                <c:pt idx="1">
                  <c:v>15</c:v>
                </c:pt>
                <c:pt idx="2">
                  <c:v>10</c:v>
                </c:pt>
                <c:pt idx="3">
                  <c:v>100</c:v>
                </c:pt>
              </c:numCache>
            </c:numRef>
          </c:val>
          <c:extLst>
            <c:ext xmlns:c16="http://schemas.microsoft.com/office/drawing/2014/chart" uri="{C3380CC4-5D6E-409C-BE32-E72D297353CC}">
              <c16:uniqueId val="{00000011-F3EF-4FFF-B0CE-899ADF94D133}"/>
            </c:ext>
          </c:extLst>
        </c:ser>
        <c:dLbls>
          <c:showLegendKey val="0"/>
          <c:showVal val="0"/>
          <c:showCatName val="0"/>
          <c:showSerName val="0"/>
          <c:showPercent val="0"/>
          <c:showBubbleSize val="0"/>
          <c:showLeaderLines val="0"/>
        </c:dLbls>
        <c:firstSliceAng val="270"/>
        <c:holeSize val="66"/>
      </c:doughnutChart>
      <c:spPr>
        <a:noFill/>
        <a:ln>
          <a:noFill/>
        </a:ln>
      </c:spPr>
    </c:plotArea>
    <c:plotVisOnly val="1"/>
    <c:dispBlanksAs val="gap"/>
    <c:showDLblsOverMax val="1"/>
  </c:chart>
  <c:spPr>
    <a:noFill/>
    <a:ln>
      <a:noFill/>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04"/>
          <c:w val="1"/>
          <c:h val="0.92"/>
        </c:manualLayout>
      </c:layout>
      <c:doughnutChart>
        <c:varyColors val="1"/>
        <c:ser>
          <c:idx val="0"/>
          <c:order val="0"/>
          <c:tx>
            <c:v>Needle</c:v>
          </c:tx>
          <c:dPt>
            <c:idx val="0"/>
            <c:bubble3D val="0"/>
            <c:spPr>
              <a:solidFill>
                <a:srgbClr val="224674"/>
              </a:solidFill>
              <a:ln w="19050">
                <a:solidFill>
                  <a:srgbClr val="122B4F"/>
                </a:solidFill>
              </a:ln>
            </c:spPr>
            <c:extLst>
              <c:ext xmlns:c16="http://schemas.microsoft.com/office/drawing/2014/chart" uri="{C3380CC4-5D6E-409C-BE32-E72D297353CC}">
                <c16:uniqueId val="{00000001-595F-4F41-B1ED-AAF00280F132}"/>
              </c:ext>
            </c:extLst>
          </c:dPt>
          <c:dPt>
            <c:idx val="1"/>
            <c:bubble3D val="0"/>
            <c:spPr>
              <a:solidFill>
                <a:srgbClr val="F4F7FC"/>
              </a:solidFill>
              <a:ln w="19050">
                <a:solidFill>
                  <a:srgbClr val="122B4F"/>
                </a:solidFill>
              </a:ln>
            </c:spPr>
            <c:extLst>
              <c:ext xmlns:c16="http://schemas.microsoft.com/office/drawing/2014/chart" uri="{C3380CC4-5D6E-409C-BE32-E72D297353CC}">
                <c16:uniqueId val="{00000003-595F-4F41-B1ED-AAF00280F132}"/>
              </c:ext>
            </c:extLst>
          </c:dPt>
          <c:dPt>
            <c:idx val="2"/>
            <c:bubble3D val="0"/>
            <c:spPr>
              <a:solidFill>
                <a:srgbClr val="224674"/>
              </a:solidFill>
              <a:ln w="19050">
                <a:solidFill>
                  <a:srgbClr val="122B4F"/>
                </a:solidFill>
              </a:ln>
            </c:spPr>
            <c:extLst>
              <c:ext xmlns:c16="http://schemas.microsoft.com/office/drawing/2014/chart" uri="{C3380CC4-5D6E-409C-BE32-E72D297353CC}">
                <c16:uniqueId val="{00000005-595F-4F41-B1ED-AAF00280F132}"/>
              </c:ext>
            </c:extLst>
          </c:dPt>
          <c:dPt>
            <c:idx val="3"/>
            <c:bubble3D val="0"/>
            <c:spPr>
              <a:noFill/>
              <a:ln>
                <a:noFill/>
              </a:ln>
            </c:spPr>
            <c:extLst>
              <c:ext xmlns:c16="http://schemas.microsoft.com/office/drawing/2014/chart" uri="{C3380CC4-5D6E-409C-BE32-E72D297353CC}">
                <c16:uniqueId val="{00000007-595F-4F41-B1ED-AAF00280F132}"/>
              </c:ext>
            </c:extLst>
          </c:dPt>
          <c:val>
            <c:numRef>
              <c:f>'KPI Engine (Final)'!$C$222:$F$222</c:f>
              <c:numCache>
                <c:formatCode>General</c:formatCode>
                <c:ptCount val="4"/>
                <c:pt idx="0" formatCode="0.00">
                  <c:v>93.541666666666657</c:v>
                </c:pt>
                <c:pt idx="1">
                  <c:v>2.5</c:v>
                </c:pt>
                <c:pt idx="2" formatCode="0.00">
                  <c:v>3.9583333333333428</c:v>
                </c:pt>
                <c:pt idx="3">
                  <c:v>100</c:v>
                </c:pt>
              </c:numCache>
            </c:numRef>
          </c:val>
          <c:extLst>
            <c:ext xmlns:c16="http://schemas.microsoft.com/office/drawing/2014/chart" uri="{C3380CC4-5D6E-409C-BE32-E72D297353CC}">
              <c16:uniqueId val="{00000008-595F-4F41-B1ED-AAF00280F132}"/>
            </c:ext>
          </c:extLst>
        </c:ser>
        <c:ser>
          <c:idx val="1"/>
          <c:order val="1"/>
          <c:tx>
            <c:v>Dial zones</c:v>
          </c:tx>
          <c:dPt>
            <c:idx val="0"/>
            <c:bubble3D val="0"/>
            <c:spPr>
              <a:solidFill>
                <a:srgbClr val="E4572E"/>
              </a:solidFill>
              <a:ln w="19050">
                <a:solidFill>
                  <a:srgbClr val="122B4F"/>
                </a:solidFill>
              </a:ln>
            </c:spPr>
            <c:extLst>
              <c:ext xmlns:c16="http://schemas.microsoft.com/office/drawing/2014/chart" uri="{C3380CC4-5D6E-409C-BE32-E72D297353CC}">
                <c16:uniqueId val="{0000000A-595F-4F41-B1ED-AAF00280F132}"/>
              </c:ext>
            </c:extLst>
          </c:dPt>
          <c:dPt>
            <c:idx val="1"/>
            <c:bubble3D val="0"/>
            <c:spPr>
              <a:solidFill>
                <a:srgbClr val="E3B341"/>
              </a:solidFill>
              <a:ln w="19050">
                <a:solidFill>
                  <a:srgbClr val="122B4F"/>
                </a:solidFill>
              </a:ln>
            </c:spPr>
            <c:extLst>
              <c:ext xmlns:c16="http://schemas.microsoft.com/office/drawing/2014/chart" uri="{C3380CC4-5D6E-409C-BE32-E72D297353CC}">
                <c16:uniqueId val="{0000000C-595F-4F41-B1ED-AAF00280F132}"/>
              </c:ext>
            </c:extLst>
          </c:dPt>
          <c:dPt>
            <c:idx val="2"/>
            <c:bubble3D val="0"/>
            <c:spPr>
              <a:solidFill>
                <a:srgbClr val="2FBF9B"/>
              </a:solidFill>
              <a:ln w="19050">
                <a:solidFill>
                  <a:srgbClr val="122B4F"/>
                </a:solidFill>
              </a:ln>
            </c:spPr>
            <c:extLst>
              <c:ext xmlns:c16="http://schemas.microsoft.com/office/drawing/2014/chart" uri="{C3380CC4-5D6E-409C-BE32-E72D297353CC}">
                <c16:uniqueId val="{0000000E-595F-4F41-B1ED-AAF00280F132}"/>
              </c:ext>
            </c:extLst>
          </c:dPt>
          <c:dPt>
            <c:idx val="3"/>
            <c:bubble3D val="0"/>
            <c:spPr>
              <a:noFill/>
              <a:ln>
                <a:noFill/>
              </a:ln>
            </c:spPr>
            <c:extLst>
              <c:ext xmlns:c16="http://schemas.microsoft.com/office/drawing/2014/chart" uri="{C3380CC4-5D6E-409C-BE32-E72D297353CC}">
                <c16:uniqueId val="{00000010-595F-4F41-B1ED-AAF00280F132}"/>
              </c:ext>
            </c:extLst>
          </c:dPt>
          <c:val>
            <c:numRef>
              <c:f>'KPI Engine (Final)'!$B$205:$E$205</c:f>
              <c:numCache>
                <c:formatCode>General</c:formatCode>
                <c:ptCount val="4"/>
                <c:pt idx="0">
                  <c:v>75</c:v>
                </c:pt>
                <c:pt idx="1">
                  <c:v>15</c:v>
                </c:pt>
                <c:pt idx="2">
                  <c:v>10</c:v>
                </c:pt>
                <c:pt idx="3">
                  <c:v>100</c:v>
                </c:pt>
              </c:numCache>
            </c:numRef>
          </c:val>
          <c:extLst>
            <c:ext xmlns:c16="http://schemas.microsoft.com/office/drawing/2014/chart" uri="{C3380CC4-5D6E-409C-BE32-E72D297353CC}">
              <c16:uniqueId val="{00000011-595F-4F41-B1ED-AAF00280F132}"/>
            </c:ext>
          </c:extLst>
        </c:ser>
        <c:dLbls>
          <c:showLegendKey val="0"/>
          <c:showVal val="0"/>
          <c:showCatName val="0"/>
          <c:showSerName val="0"/>
          <c:showPercent val="0"/>
          <c:showBubbleSize val="0"/>
          <c:showLeaderLines val="0"/>
        </c:dLbls>
        <c:firstSliceAng val="270"/>
        <c:holeSize val="66"/>
      </c:doughnutChart>
      <c:spPr>
        <a:noFill/>
        <a:ln>
          <a:noFill/>
        </a:ln>
      </c:spPr>
    </c:plotArea>
    <c:plotVisOnly val="1"/>
    <c:dispBlanksAs val="gap"/>
    <c:showDLblsOverMax val="1"/>
  </c:chart>
  <c:spPr>
    <a:noFill/>
    <a:ln>
      <a:noFill/>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04"/>
          <c:w val="1"/>
          <c:h val="0.92"/>
        </c:manualLayout>
      </c:layout>
      <c:doughnutChart>
        <c:varyColors val="1"/>
        <c:ser>
          <c:idx val="0"/>
          <c:order val="0"/>
          <c:tx>
            <c:v>Needle</c:v>
          </c:tx>
          <c:dPt>
            <c:idx val="0"/>
            <c:bubble3D val="0"/>
            <c:spPr>
              <a:solidFill>
                <a:srgbClr val="224674"/>
              </a:solidFill>
              <a:ln w="19050">
                <a:solidFill>
                  <a:srgbClr val="122B4F"/>
                </a:solidFill>
              </a:ln>
            </c:spPr>
            <c:extLst>
              <c:ext xmlns:c16="http://schemas.microsoft.com/office/drawing/2014/chart" uri="{C3380CC4-5D6E-409C-BE32-E72D297353CC}">
                <c16:uniqueId val="{00000001-B02B-41D7-91DA-89F73675D2BF}"/>
              </c:ext>
            </c:extLst>
          </c:dPt>
          <c:dPt>
            <c:idx val="1"/>
            <c:bubble3D val="0"/>
            <c:spPr>
              <a:solidFill>
                <a:srgbClr val="F4F7FC"/>
              </a:solidFill>
              <a:ln w="19050">
                <a:solidFill>
                  <a:srgbClr val="122B4F"/>
                </a:solidFill>
              </a:ln>
            </c:spPr>
            <c:extLst>
              <c:ext xmlns:c16="http://schemas.microsoft.com/office/drawing/2014/chart" uri="{C3380CC4-5D6E-409C-BE32-E72D297353CC}">
                <c16:uniqueId val="{00000003-B02B-41D7-91DA-89F73675D2BF}"/>
              </c:ext>
            </c:extLst>
          </c:dPt>
          <c:dPt>
            <c:idx val="2"/>
            <c:bubble3D val="0"/>
            <c:spPr>
              <a:solidFill>
                <a:srgbClr val="224674"/>
              </a:solidFill>
              <a:ln w="19050">
                <a:solidFill>
                  <a:srgbClr val="122B4F"/>
                </a:solidFill>
              </a:ln>
            </c:spPr>
            <c:extLst>
              <c:ext xmlns:c16="http://schemas.microsoft.com/office/drawing/2014/chart" uri="{C3380CC4-5D6E-409C-BE32-E72D297353CC}">
                <c16:uniqueId val="{00000005-B02B-41D7-91DA-89F73675D2BF}"/>
              </c:ext>
            </c:extLst>
          </c:dPt>
          <c:dPt>
            <c:idx val="3"/>
            <c:bubble3D val="0"/>
            <c:spPr>
              <a:noFill/>
              <a:ln>
                <a:noFill/>
              </a:ln>
            </c:spPr>
            <c:extLst>
              <c:ext xmlns:c16="http://schemas.microsoft.com/office/drawing/2014/chart" uri="{C3380CC4-5D6E-409C-BE32-E72D297353CC}">
                <c16:uniqueId val="{00000007-B02B-41D7-91DA-89F73675D2BF}"/>
              </c:ext>
            </c:extLst>
          </c:dPt>
          <c:val>
            <c:numRef>
              <c:f>'KPI Engine (Final)'!$C$223:$F$223</c:f>
              <c:numCache>
                <c:formatCode>General</c:formatCode>
                <c:ptCount val="4"/>
                <c:pt idx="0" formatCode="0.00">
                  <c:v>97.5</c:v>
                </c:pt>
                <c:pt idx="1">
                  <c:v>2.5</c:v>
                </c:pt>
                <c:pt idx="2" formatCode="0.00">
                  <c:v>0</c:v>
                </c:pt>
                <c:pt idx="3">
                  <c:v>100</c:v>
                </c:pt>
              </c:numCache>
            </c:numRef>
          </c:val>
          <c:extLst>
            <c:ext xmlns:c16="http://schemas.microsoft.com/office/drawing/2014/chart" uri="{C3380CC4-5D6E-409C-BE32-E72D297353CC}">
              <c16:uniqueId val="{00000008-B02B-41D7-91DA-89F73675D2BF}"/>
            </c:ext>
          </c:extLst>
        </c:ser>
        <c:ser>
          <c:idx val="1"/>
          <c:order val="1"/>
          <c:tx>
            <c:v>Dial zones</c:v>
          </c:tx>
          <c:dPt>
            <c:idx val="0"/>
            <c:bubble3D val="0"/>
            <c:spPr>
              <a:solidFill>
                <a:srgbClr val="E4572E"/>
              </a:solidFill>
              <a:ln w="19050">
                <a:solidFill>
                  <a:srgbClr val="122B4F"/>
                </a:solidFill>
              </a:ln>
            </c:spPr>
            <c:extLst>
              <c:ext xmlns:c16="http://schemas.microsoft.com/office/drawing/2014/chart" uri="{C3380CC4-5D6E-409C-BE32-E72D297353CC}">
                <c16:uniqueId val="{0000000A-B02B-41D7-91DA-89F73675D2BF}"/>
              </c:ext>
            </c:extLst>
          </c:dPt>
          <c:dPt>
            <c:idx val="1"/>
            <c:bubble3D val="0"/>
            <c:spPr>
              <a:solidFill>
                <a:srgbClr val="E3B341"/>
              </a:solidFill>
              <a:ln w="19050">
                <a:solidFill>
                  <a:srgbClr val="122B4F"/>
                </a:solidFill>
              </a:ln>
            </c:spPr>
            <c:extLst>
              <c:ext xmlns:c16="http://schemas.microsoft.com/office/drawing/2014/chart" uri="{C3380CC4-5D6E-409C-BE32-E72D297353CC}">
                <c16:uniqueId val="{0000000C-B02B-41D7-91DA-89F73675D2BF}"/>
              </c:ext>
            </c:extLst>
          </c:dPt>
          <c:dPt>
            <c:idx val="2"/>
            <c:bubble3D val="0"/>
            <c:spPr>
              <a:solidFill>
                <a:srgbClr val="2FBF9B"/>
              </a:solidFill>
              <a:ln w="19050">
                <a:solidFill>
                  <a:srgbClr val="122B4F"/>
                </a:solidFill>
              </a:ln>
            </c:spPr>
            <c:extLst>
              <c:ext xmlns:c16="http://schemas.microsoft.com/office/drawing/2014/chart" uri="{C3380CC4-5D6E-409C-BE32-E72D297353CC}">
                <c16:uniqueId val="{0000000E-B02B-41D7-91DA-89F73675D2BF}"/>
              </c:ext>
            </c:extLst>
          </c:dPt>
          <c:dPt>
            <c:idx val="3"/>
            <c:bubble3D val="0"/>
            <c:spPr>
              <a:noFill/>
              <a:ln>
                <a:noFill/>
              </a:ln>
            </c:spPr>
            <c:extLst>
              <c:ext xmlns:c16="http://schemas.microsoft.com/office/drawing/2014/chart" uri="{C3380CC4-5D6E-409C-BE32-E72D297353CC}">
                <c16:uniqueId val="{00000010-B02B-41D7-91DA-89F73675D2BF}"/>
              </c:ext>
            </c:extLst>
          </c:dPt>
          <c:val>
            <c:numRef>
              <c:f>'KPI Engine (Final)'!$B$205:$E$205</c:f>
              <c:numCache>
                <c:formatCode>General</c:formatCode>
                <c:ptCount val="4"/>
                <c:pt idx="0">
                  <c:v>75</c:v>
                </c:pt>
                <c:pt idx="1">
                  <c:v>15</c:v>
                </c:pt>
                <c:pt idx="2">
                  <c:v>10</c:v>
                </c:pt>
                <c:pt idx="3">
                  <c:v>100</c:v>
                </c:pt>
              </c:numCache>
            </c:numRef>
          </c:val>
          <c:extLst>
            <c:ext xmlns:c16="http://schemas.microsoft.com/office/drawing/2014/chart" uri="{C3380CC4-5D6E-409C-BE32-E72D297353CC}">
              <c16:uniqueId val="{00000011-B02B-41D7-91DA-89F73675D2BF}"/>
            </c:ext>
          </c:extLst>
        </c:ser>
        <c:dLbls>
          <c:showLegendKey val="0"/>
          <c:showVal val="0"/>
          <c:showCatName val="0"/>
          <c:showSerName val="0"/>
          <c:showPercent val="0"/>
          <c:showBubbleSize val="0"/>
          <c:showLeaderLines val="0"/>
        </c:dLbls>
        <c:firstSliceAng val="270"/>
        <c:holeSize val="66"/>
      </c:doughnutChart>
      <c:spPr>
        <a:noFill/>
        <a:ln>
          <a:noFill/>
        </a:ln>
      </c:spPr>
    </c:plotArea>
    <c:plotVisOnly val="1"/>
    <c:dispBlanksAs val="gap"/>
    <c:showDLblsOverMax val="1"/>
  </c:chart>
  <c:spPr>
    <a:noFill/>
    <a:ln>
      <a:noFill/>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
          <c:y val="0.04"/>
          <c:w val="1"/>
          <c:h val="0.92"/>
        </c:manualLayout>
      </c:layout>
      <c:doughnutChart>
        <c:varyColors val="1"/>
        <c:ser>
          <c:idx val="0"/>
          <c:order val="0"/>
          <c:tx>
            <c:v>Needle</c:v>
          </c:tx>
          <c:dPt>
            <c:idx val="0"/>
            <c:bubble3D val="0"/>
            <c:spPr>
              <a:solidFill>
                <a:srgbClr val="224674"/>
              </a:solidFill>
              <a:ln w="19050">
                <a:solidFill>
                  <a:srgbClr val="122B4F"/>
                </a:solidFill>
              </a:ln>
            </c:spPr>
            <c:extLst>
              <c:ext xmlns:c16="http://schemas.microsoft.com/office/drawing/2014/chart" uri="{C3380CC4-5D6E-409C-BE32-E72D297353CC}">
                <c16:uniqueId val="{00000001-2F2E-4183-B0E6-DD128D0D2DED}"/>
              </c:ext>
            </c:extLst>
          </c:dPt>
          <c:dPt>
            <c:idx val="1"/>
            <c:bubble3D val="0"/>
            <c:spPr>
              <a:solidFill>
                <a:srgbClr val="F4F7FC"/>
              </a:solidFill>
              <a:ln w="19050">
                <a:solidFill>
                  <a:srgbClr val="122B4F"/>
                </a:solidFill>
              </a:ln>
            </c:spPr>
            <c:extLst>
              <c:ext xmlns:c16="http://schemas.microsoft.com/office/drawing/2014/chart" uri="{C3380CC4-5D6E-409C-BE32-E72D297353CC}">
                <c16:uniqueId val="{00000003-2F2E-4183-B0E6-DD128D0D2DED}"/>
              </c:ext>
            </c:extLst>
          </c:dPt>
          <c:dPt>
            <c:idx val="2"/>
            <c:bubble3D val="0"/>
            <c:spPr>
              <a:solidFill>
                <a:srgbClr val="224674"/>
              </a:solidFill>
              <a:ln w="19050">
                <a:solidFill>
                  <a:srgbClr val="122B4F"/>
                </a:solidFill>
              </a:ln>
            </c:spPr>
            <c:extLst>
              <c:ext xmlns:c16="http://schemas.microsoft.com/office/drawing/2014/chart" uri="{C3380CC4-5D6E-409C-BE32-E72D297353CC}">
                <c16:uniqueId val="{00000005-2F2E-4183-B0E6-DD128D0D2DED}"/>
              </c:ext>
            </c:extLst>
          </c:dPt>
          <c:dPt>
            <c:idx val="3"/>
            <c:bubble3D val="0"/>
            <c:spPr>
              <a:noFill/>
              <a:ln>
                <a:noFill/>
              </a:ln>
            </c:spPr>
            <c:extLst>
              <c:ext xmlns:c16="http://schemas.microsoft.com/office/drawing/2014/chart" uri="{C3380CC4-5D6E-409C-BE32-E72D297353CC}">
                <c16:uniqueId val="{00000007-2F2E-4183-B0E6-DD128D0D2DED}"/>
              </c:ext>
            </c:extLst>
          </c:dPt>
          <c:val>
            <c:numRef>
              <c:f>'KPI Engine (Final)'!$C$224:$F$224</c:f>
              <c:numCache>
                <c:formatCode>General</c:formatCode>
                <c:ptCount val="4"/>
                <c:pt idx="0" formatCode="0.00">
                  <c:v>97.5</c:v>
                </c:pt>
                <c:pt idx="1">
                  <c:v>2.5</c:v>
                </c:pt>
                <c:pt idx="2" formatCode="0.00">
                  <c:v>0</c:v>
                </c:pt>
                <c:pt idx="3">
                  <c:v>100</c:v>
                </c:pt>
              </c:numCache>
            </c:numRef>
          </c:val>
          <c:extLst>
            <c:ext xmlns:c16="http://schemas.microsoft.com/office/drawing/2014/chart" uri="{C3380CC4-5D6E-409C-BE32-E72D297353CC}">
              <c16:uniqueId val="{00000008-2F2E-4183-B0E6-DD128D0D2DED}"/>
            </c:ext>
          </c:extLst>
        </c:ser>
        <c:ser>
          <c:idx val="1"/>
          <c:order val="1"/>
          <c:tx>
            <c:v>Dial zones</c:v>
          </c:tx>
          <c:dPt>
            <c:idx val="0"/>
            <c:bubble3D val="0"/>
            <c:spPr>
              <a:solidFill>
                <a:srgbClr val="E4572E"/>
              </a:solidFill>
              <a:ln w="19050">
                <a:solidFill>
                  <a:srgbClr val="122B4F"/>
                </a:solidFill>
              </a:ln>
            </c:spPr>
            <c:extLst>
              <c:ext xmlns:c16="http://schemas.microsoft.com/office/drawing/2014/chart" uri="{C3380CC4-5D6E-409C-BE32-E72D297353CC}">
                <c16:uniqueId val="{0000000A-2F2E-4183-B0E6-DD128D0D2DED}"/>
              </c:ext>
            </c:extLst>
          </c:dPt>
          <c:dPt>
            <c:idx val="1"/>
            <c:bubble3D val="0"/>
            <c:spPr>
              <a:solidFill>
                <a:srgbClr val="E3B341"/>
              </a:solidFill>
              <a:ln w="19050">
                <a:solidFill>
                  <a:srgbClr val="122B4F"/>
                </a:solidFill>
              </a:ln>
            </c:spPr>
            <c:extLst>
              <c:ext xmlns:c16="http://schemas.microsoft.com/office/drawing/2014/chart" uri="{C3380CC4-5D6E-409C-BE32-E72D297353CC}">
                <c16:uniqueId val="{0000000C-2F2E-4183-B0E6-DD128D0D2DED}"/>
              </c:ext>
            </c:extLst>
          </c:dPt>
          <c:dPt>
            <c:idx val="2"/>
            <c:bubble3D val="0"/>
            <c:spPr>
              <a:solidFill>
                <a:srgbClr val="2FBF9B"/>
              </a:solidFill>
              <a:ln w="19050">
                <a:solidFill>
                  <a:srgbClr val="122B4F"/>
                </a:solidFill>
              </a:ln>
            </c:spPr>
            <c:extLst>
              <c:ext xmlns:c16="http://schemas.microsoft.com/office/drawing/2014/chart" uri="{C3380CC4-5D6E-409C-BE32-E72D297353CC}">
                <c16:uniqueId val="{0000000E-2F2E-4183-B0E6-DD128D0D2DED}"/>
              </c:ext>
            </c:extLst>
          </c:dPt>
          <c:dPt>
            <c:idx val="3"/>
            <c:bubble3D val="0"/>
            <c:spPr>
              <a:noFill/>
              <a:ln>
                <a:noFill/>
              </a:ln>
            </c:spPr>
            <c:extLst>
              <c:ext xmlns:c16="http://schemas.microsoft.com/office/drawing/2014/chart" uri="{C3380CC4-5D6E-409C-BE32-E72D297353CC}">
                <c16:uniqueId val="{00000010-2F2E-4183-B0E6-DD128D0D2DED}"/>
              </c:ext>
            </c:extLst>
          </c:dPt>
          <c:val>
            <c:numRef>
              <c:f>'KPI Engine (Final)'!$B$205:$E$205</c:f>
              <c:numCache>
                <c:formatCode>General</c:formatCode>
                <c:ptCount val="4"/>
                <c:pt idx="0">
                  <c:v>75</c:v>
                </c:pt>
                <c:pt idx="1">
                  <c:v>15</c:v>
                </c:pt>
                <c:pt idx="2">
                  <c:v>10</c:v>
                </c:pt>
                <c:pt idx="3">
                  <c:v>100</c:v>
                </c:pt>
              </c:numCache>
            </c:numRef>
          </c:val>
          <c:extLst>
            <c:ext xmlns:c16="http://schemas.microsoft.com/office/drawing/2014/chart" uri="{C3380CC4-5D6E-409C-BE32-E72D297353CC}">
              <c16:uniqueId val="{00000011-2F2E-4183-B0E6-DD128D0D2DED}"/>
            </c:ext>
          </c:extLst>
        </c:ser>
        <c:dLbls>
          <c:showLegendKey val="0"/>
          <c:showVal val="0"/>
          <c:showCatName val="0"/>
          <c:showSerName val="0"/>
          <c:showPercent val="0"/>
          <c:showBubbleSize val="0"/>
          <c:showLeaderLines val="0"/>
        </c:dLbls>
        <c:firstSliceAng val="270"/>
        <c:holeSize val="66"/>
      </c:doughnutChart>
      <c:spPr>
        <a:noFill/>
        <a:ln>
          <a:noFill/>
        </a:ln>
      </c:spPr>
    </c:plotArea>
    <c:plotVisOnly val="1"/>
    <c:dispBlanksAs val="gap"/>
    <c:showDLblsOverMax val="1"/>
  </c:chart>
  <c:spPr>
    <a:noFill/>
    <a:ln>
      <a:noFill/>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0"/>
        <c:ser>
          <c:idx val="0"/>
          <c:order val="0"/>
          <c:tx>
            <c:strRef>
              <c:f>'KPI Engine (Final)'!$C$268</c:f>
              <c:strCache>
                <c:ptCount val="1"/>
                <c:pt idx="0">
                  <c:v>Quality index (%)</c:v>
                </c:pt>
              </c:strCache>
            </c:strRef>
          </c:tx>
          <c:spPr>
            <a:ln w="31750" cap="rnd">
              <a:solidFill>
                <a:srgbClr val="4CC3D9"/>
              </a:solidFill>
              <a:round/>
            </a:ln>
          </c:spPr>
          <c:marker>
            <c:symbol val="circle"/>
            <c:size val="6"/>
            <c:spPr>
              <a:solidFill>
                <a:srgbClr val="122B4F"/>
              </a:solidFill>
              <a:ln w="19050">
                <a:solidFill>
                  <a:srgbClr val="4CC3D9"/>
                </a:solidFill>
              </a:ln>
            </c:spPr>
          </c:marker>
          <c:dLbls>
            <c:dLbl>
              <c:idx val="36"/>
              <c:numFmt formatCode="0.0%" sourceLinked="0"/>
              <c:spPr>
                <a:noFill/>
                <a:ln>
                  <a:noFill/>
                </a:ln>
              </c:spPr>
              <c:txPr>
                <a:bodyPr/>
                <a:lstStyle/>
                <a:p>
                  <a:pPr>
                    <a:defRPr sz="900" b="1">
                      <a:solidFill>
                        <a:srgbClr val="FFFFFF"/>
                      </a:solidFill>
                      <a:latin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8B5-4331-8676-C79DA7A775F4}"/>
                </c:ext>
              </c:extLst>
            </c:dLbl>
            <c:spPr>
              <a:noFill/>
              <a:ln>
                <a:noFill/>
              </a:ln>
            </c:spPr>
            <c:showLegendKey val="0"/>
            <c:showVal val="0"/>
            <c:showCatName val="0"/>
            <c:showSerName val="0"/>
            <c:showPercent val="0"/>
            <c:showBubbleSize val="0"/>
            <c:extLst>
              <c:ext xmlns:c15="http://schemas.microsoft.com/office/drawing/2012/chart" uri="{CE6537A1-D6FC-4f65-9D91-7224C49458BB}">
                <c15:showLeaderLines val="0"/>
              </c:ext>
            </c:extLst>
          </c:dLbls>
          <c:cat>
            <c:numRef>
              <c:f>'KPI Engine (Final)'!$B$269:$B$305</c:f>
              <c:numCache>
                <c:formatCode>dd\-mmm\-yy</c:formatCode>
                <c:ptCount val="37"/>
                <c:pt idx="0">
                  <c:v>46027</c:v>
                </c:pt>
                <c:pt idx="1">
                  <c:v>46034</c:v>
                </c:pt>
                <c:pt idx="2">
                  <c:v>46041</c:v>
                </c:pt>
                <c:pt idx="3">
                  <c:v>46048</c:v>
                </c:pt>
                <c:pt idx="4">
                  <c:v>46055</c:v>
                </c:pt>
                <c:pt idx="5">
                  <c:v>46062</c:v>
                </c:pt>
                <c:pt idx="6">
                  <c:v>46069</c:v>
                </c:pt>
                <c:pt idx="7">
                  <c:v>46076</c:v>
                </c:pt>
                <c:pt idx="8">
                  <c:v>46083</c:v>
                </c:pt>
                <c:pt idx="9">
                  <c:v>46090</c:v>
                </c:pt>
                <c:pt idx="10">
                  <c:v>46097</c:v>
                </c:pt>
                <c:pt idx="11">
                  <c:v>46104</c:v>
                </c:pt>
                <c:pt idx="12">
                  <c:v>46111</c:v>
                </c:pt>
                <c:pt idx="13">
                  <c:v>46118</c:v>
                </c:pt>
                <c:pt idx="14">
                  <c:v>46125</c:v>
                </c:pt>
                <c:pt idx="15">
                  <c:v>46132</c:v>
                </c:pt>
                <c:pt idx="16">
                  <c:v>46139</c:v>
                </c:pt>
                <c:pt idx="17">
                  <c:v>46146</c:v>
                </c:pt>
                <c:pt idx="18">
                  <c:v>46153</c:v>
                </c:pt>
                <c:pt idx="19">
                  <c:v>46160</c:v>
                </c:pt>
                <c:pt idx="20">
                  <c:v>46167</c:v>
                </c:pt>
                <c:pt idx="21">
                  <c:v>46174</c:v>
                </c:pt>
                <c:pt idx="22">
                  <c:v>46181</c:v>
                </c:pt>
                <c:pt idx="23">
                  <c:v>46188</c:v>
                </c:pt>
                <c:pt idx="24">
                  <c:v>46195</c:v>
                </c:pt>
                <c:pt idx="25">
                  <c:v>46202</c:v>
                </c:pt>
                <c:pt idx="26">
                  <c:v>46209</c:v>
                </c:pt>
                <c:pt idx="27">
                  <c:v>46216</c:v>
                </c:pt>
                <c:pt idx="28">
                  <c:v>46223</c:v>
                </c:pt>
                <c:pt idx="29">
                  <c:v>46230</c:v>
                </c:pt>
                <c:pt idx="30">
                  <c:v>46237</c:v>
                </c:pt>
                <c:pt idx="31">
                  <c:v>46244</c:v>
                </c:pt>
                <c:pt idx="32">
                  <c:v>46251</c:v>
                </c:pt>
                <c:pt idx="33">
                  <c:v>46258</c:v>
                </c:pt>
                <c:pt idx="34">
                  <c:v>46265</c:v>
                </c:pt>
                <c:pt idx="35">
                  <c:v>46272</c:v>
                </c:pt>
                <c:pt idx="36">
                  <c:v>46279</c:v>
                </c:pt>
              </c:numCache>
            </c:numRef>
          </c:cat>
          <c:val>
            <c:numRef>
              <c:f>'KPI Engine (Final)'!$C$269:$C$305</c:f>
              <c:numCache>
                <c:formatCode>0.0%</c:formatCode>
                <c:ptCount val="37"/>
                <c:pt idx="0">
                  <c:v>0.93600000000000005</c:v>
                </c:pt>
                <c:pt idx="1">
                  <c:v>0.93799999999999994</c:v>
                </c:pt>
                <c:pt idx="2">
                  <c:v>0.94</c:v>
                </c:pt>
                <c:pt idx="3">
                  <c:v>0.94399999999999995</c:v>
                </c:pt>
                <c:pt idx="4">
                  <c:v>0.93899999999999995</c:v>
                </c:pt>
                <c:pt idx="5">
                  <c:v>0.93500000000000005</c:v>
                </c:pt>
                <c:pt idx="6">
                  <c:v>0.94099999999999995</c:v>
                </c:pt>
                <c:pt idx="7">
                  <c:v>0.94199999999999995</c:v>
                </c:pt>
                <c:pt idx="8">
                  <c:v>0.94599999999999995</c:v>
                </c:pt>
                <c:pt idx="9">
                  <c:v>0.94599999999999995</c:v>
                </c:pt>
                <c:pt idx="10">
                  <c:v>0.94799999999999995</c:v>
                </c:pt>
                <c:pt idx="11">
                  <c:v>0.94899999999999995</c:v>
                </c:pt>
                <c:pt idx="12">
                  <c:v>0.95</c:v>
                </c:pt>
                <c:pt idx="13">
                  <c:v>0.94899999999999995</c:v>
                </c:pt>
                <c:pt idx="14">
                  <c:v>0.94499999999999995</c:v>
                </c:pt>
                <c:pt idx="15">
                  <c:v>0.94699999999999995</c:v>
                </c:pt>
                <c:pt idx="16">
                  <c:v>0.94299999999999995</c:v>
                </c:pt>
                <c:pt idx="17">
                  <c:v>0.94799999999999995</c:v>
                </c:pt>
                <c:pt idx="18">
                  <c:v>0.94799999999999995</c:v>
                </c:pt>
                <c:pt idx="19">
                  <c:v>0.95099999999999996</c:v>
                </c:pt>
                <c:pt idx="20">
                  <c:v>0.95199999999999996</c:v>
                </c:pt>
                <c:pt idx="21">
                  <c:v>0.95299999999999996</c:v>
                </c:pt>
                <c:pt idx="22">
                  <c:v>0.94799999999999995</c:v>
                </c:pt>
                <c:pt idx="23">
                  <c:v>0.94599999999999995</c:v>
                </c:pt>
                <c:pt idx="24">
                  <c:v>0.95399999999999996</c:v>
                </c:pt>
                <c:pt idx="25">
                  <c:v>0.95699999999999996</c:v>
                </c:pt>
                <c:pt idx="26">
                  <c:v>0.95799999999999996</c:v>
                </c:pt>
                <c:pt idx="27">
                  <c:v>0.96</c:v>
                </c:pt>
                <c:pt idx="28">
                  <c:v>0.95699999999999996</c:v>
                </c:pt>
                <c:pt idx="29">
                  <c:v>0.95</c:v>
                </c:pt>
                <c:pt idx="30">
                  <c:v>0.95</c:v>
                </c:pt>
                <c:pt idx="31">
                  <c:v>0.95199999999999996</c:v>
                </c:pt>
                <c:pt idx="32">
                  <c:v>0.96</c:v>
                </c:pt>
                <c:pt idx="33">
                  <c:v>0.95199999999999996</c:v>
                </c:pt>
                <c:pt idx="34">
                  <c:v>0.95799999999999996</c:v>
                </c:pt>
                <c:pt idx="35">
                  <c:v>0.95899999999999996</c:v>
                </c:pt>
                <c:pt idx="36">
                  <c:v>0.95799999999999996</c:v>
                </c:pt>
              </c:numCache>
            </c:numRef>
          </c:val>
          <c:smooth val="0"/>
          <c:extLst>
            <c:ext xmlns:c16="http://schemas.microsoft.com/office/drawing/2014/chart" uri="{C3380CC4-5D6E-409C-BE32-E72D297353CC}">
              <c16:uniqueId val="{00000001-18B5-4331-8676-C79DA7A775F4}"/>
            </c:ext>
          </c:extLst>
        </c:ser>
        <c:ser>
          <c:idx val="1"/>
          <c:order val="1"/>
          <c:tx>
            <c:strRef>
              <c:f>'KPI Engine (Final)'!$D$268</c:f>
              <c:strCache>
                <c:ptCount val="1"/>
                <c:pt idx="0">
                  <c:v>Average</c:v>
                </c:pt>
              </c:strCache>
            </c:strRef>
          </c:tx>
          <c:spPr>
            <a:ln w="19050" cap="rnd">
              <a:solidFill>
                <a:srgbClr val="E3B341"/>
              </a:solidFill>
              <a:prstDash val="dash"/>
              <a:round/>
            </a:ln>
          </c:spPr>
          <c:marker>
            <c:symbol val="none"/>
          </c:marker>
          <c:cat>
            <c:numRef>
              <c:f>'KPI Engine (Final)'!$B$269:$B$305</c:f>
              <c:numCache>
                <c:formatCode>dd\-mmm\-yy</c:formatCode>
                <c:ptCount val="37"/>
                <c:pt idx="0">
                  <c:v>46027</c:v>
                </c:pt>
                <c:pt idx="1">
                  <c:v>46034</c:v>
                </c:pt>
                <c:pt idx="2">
                  <c:v>46041</c:v>
                </c:pt>
                <c:pt idx="3">
                  <c:v>46048</c:v>
                </c:pt>
                <c:pt idx="4">
                  <c:v>46055</c:v>
                </c:pt>
                <c:pt idx="5">
                  <c:v>46062</c:v>
                </c:pt>
                <c:pt idx="6">
                  <c:v>46069</c:v>
                </c:pt>
                <c:pt idx="7">
                  <c:v>46076</c:v>
                </c:pt>
                <c:pt idx="8">
                  <c:v>46083</c:v>
                </c:pt>
                <c:pt idx="9">
                  <c:v>46090</c:v>
                </c:pt>
                <c:pt idx="10">
                  <c:v>46097</c:v>
                </c:pt>
                <c:pt idx="11">
                  <c:v>46104</c:v>
                </c:pt>
                <c:pt idx="12">
                  <c:v>46111</c:v>
                </c:pt>
                <c:pt idx="13">
                  <c:v>46118</c:v>
                </c:pt>
                <c:pt idx="14">
                  <c:v>46125</c:v>
                </c:pt>
                <c:pt idx="15">
                  <c:v>46132</c:v>
                </c:pt>
                <c:pt idx="16">
                  <c:v>46139</c:v>
                </c:pt>
                <c:pt idx="17">
                  <c:v>46146</c:v>
                </c:pt>
                <c:pt idx="18">
                  <c:v>46153</c:v>
                </c:pt>
                <c:pt idx="19">
                  <c:v>46160</c:v>
                </c:pt>
                <c:pt idx="20">
                  <c:v>46167</c:v>
                </c:pt>
                <c:pt idx="21">
                  <c:v>46174</c:v>
                </c:pt>
                <c:pt idx="22">
                  <c:v>46181</c:v>
                </c:pt>
                <c:pt idx="23">
                  <c:v>46188</c:v>
                </c:pt>
                <c:pt idx="24">
                  <c:v>46195</c:v>
                </c:pt>
                <c:pt idx="25">
                  <c:v>46202</c:v>
                </c:pt>
                <c:pt idx="26">
                  <c:v>46209</c:v>
                </c:pt>
                <c:pt idx="27">
                  <c:v>46216</c:v>
                </c:pt>
                <c:pt idx="28">
                  <c:v>46223</c:v>
                </c:pt>
                <c:pt idx="29">
                  <c:v>46230</c:v>
                </c:pt>
                <c:pt idx="30">
                  <c:v>46237</c:v>
                </c:pt>
                <c:pt idx="31">
                  <c:v>46244</c:v>
                </c:pt>
                <c:pt idx="32">
                  <c:v>46251</c:v>
                </c:pt>
                <c:pt idx="33">
                  <c:v>46258</c:v>
                </c:pt>
                <c:pt idx="34">
                  <c:v>46265</c:v>
                </c:pt>
                <c:pt idx="35">
                  <c:v>46272</c:v>
                </c:pt>
                <c:pt idx="36">
                  <c:v>46279</c:v>
                </c:pt>
              </c:numCache>
            </c:numRef>
          </c:cat>
          <c:val>
            <c:numRef>
              <c:f>'KPI Engine (Final)'!$D$269:$D$305</c:f>
              <c:numCache>
                <c:formatCode>0.0%</c:formatCode>
                <c:ptCount val="37"/>
                <c:pt idx="0">
                  <c:v>0.94889189189189194</c:v>
                </c:pt>
                <c:pt idx="1">
                  <c:v>0.94889189189189194</c:v>
                </c:pt>
                <c:pt idx="2">
                  <c:v>0.94889189189189194</c:v>
                </c:pt>
                <c:pt idx="3">
                  <c:v>0.94889189189189194</c:v>
                </c:pt>
                <c:pt idx="4">
                  <c:v>0.94889189189189194</c:v>
                </c:pt>
                <c:pt idx="5">
                  <c:v>0.94889189189189194</c:v>
                </c:pt>
                <c:pt idx="6">
                  <c:v>0.94889189189189194</c:v>
                </c:pt>
                <c:pt idx="7">
                  <c:v>0.94889189189189194</c:v>
                </c:pt>
                <c:pt idx="8">
                  <c:v>0.94889189189189194</c:v>
                </c:pt>
                <c:pt idx="9">
                  <c:v>0.94889189189189194</c:v>
                </c:pt>
                <c:pt idx="10">
                  <c:v>0.94889189189189194</c:v>
                </c:pt>
                <c:pt idx="11">
                  <c:v>0.94889189189189194</c:v>
                </c:pt>
                <c:pt idx="12">
                  <c:v>0.94889189189189194</c:v>
                </c:pt>
                <c:pt idx="13">
                  <c:v>0.94889189189189194</c:v>
                </c:pt>
                <c:pt idx="14">
                  <c:v>0.94889189189189194</c:v>
                </c:pt>
                <c:pt idx="15">
                  <c:v>0.94889189189189194</c:v>
                </c:pt>
                <c:pt idx="16">
                  <c:v>0.94889189189189194</c:v>
                </c:pt>
                <c:pt idx="17">
                  <c:v>0.94889189189189194</c:v>
                </c:pt>
                <c:pt idx="18">
                  <c:v>0.94889189189189194</c:v>
                </c:pt>
                <c:pt idx="19">
                  <c:v>0.94889189189189194</c:v>
                </c:pt>
                <c:pt idx="20">
                  <c:v>0.94889189189189194</c:v>
                </c:pt>
                <c:pt idx="21">
                  <c:v>0.94889189189189194</c:v>
                </c:pt>
                <c:pt idx="22">
                  <c:v>0.94889189189189194</c:v>
                </c:pt>
                <c:pt idx="23">
                  <c:v>0.94889189189189194</c:v>
                </c:pt>
                <c:pt idx="24">
                  <c:v>0.94889189189189194</c:v>
                </c:pt>
                <c:pt idx="25">
                  <c:v>0.94889189189189194</c:v>
                </c:pt>
                <c:pt idx="26">
                  <c:v>0.94889189189189194</c:v>
                </c:pt>
                <c:pt idx="27">
                  <c:v>0.94889189189189194</c:v>
                </c:pt>
                <c:pt idx="28">
                  <c:v>0.94889189189189194</c:v>
                </c:pt>
                <c:pt idx="29">
                  <c:v>0.94889189189189194</c:v>
                </c:pt>
                <c:pt idx="30">
                  <c:v>0.94889189189189194</c:v>
                </c:pt>
                <c:pt idx="31">
                  <c:v>0.94889189189189194</c:v>
                </c:pt>
                <c:pt idx="32">
                  <c:v>0.94889189189189194</c:v>
                </c:pt>
                <c:pt idx="33">
                  <c:v>0.94889189189189194</c:v>
                </c:pt>
                <c:pt idx="34">
                  <c:v>0.94889189189189194</c:v>
                </c:pt>
                <c:pt idx="35">
                  <c:v>0.94889189189189194</c:v>
                </c:pt>
                <c:pt idx="36">
                  <c:v>0.94889189189189194</c:v>
                </c:pt>
              </c:numCache>
            </c:numRef>
          </c:val>
          <c:smooth val="0"/>
          <c:extLst>
            <c:ext xmlns:c16="http://schemas.microsoft.com/office/drawing/2014/chart" uri="{C3380CC4-5D6E-409C-BE32-E72D297353CC}">
              <c16:uniqueId val="{00000002-18B5-4331-8676-C79DA7A775F4}"/>
            </c:ext>
          </c:extLst>
        </c:ser>
        <c:dLbls>
          <c:showLegendKey val="0"/>
          <c:showVal val="0"/>
          <c:showCatName val="0"/>
          <c:showSerName val="0"/>
          <c:showPercent val="0"/>
          <c:showBubbleSize val="0"/>
        </c:dLbls>
        <c:marker val="1"/>
        <c:smooth val="0"/>
        <c:axId val="52000001"/>
        <c:axId val="52000002"/>
      </c:lineChart>
      <c:catAx>
        <c:axId val="52000001"/>
        <c:scaling>
          <c:orientation val="minMax"/>
        </c:scaling>
        <c:delete val="0"/>
        <c:axPos val="b"/>
        <c:numFmt formatCode="dd\-mmm" sourceLinked="0"/>
        <c:majorTickMark val="none"/>
        <c:minorTickMark val="none"/>
        <c:tickLblPos val="low"/>
        <c:spPr>
          <a:ln w="9360">
            <a:solidFill>
              <a:srgbClr val="24425C"/>
            </a:solidFill>
          </a:ln>
        </c:spPr>
        <c:txPr>
          <a:bodyPr rot="-2700000" vert="horz"/>
          <a:lstStyle/>
          <a:p>
            <a:pPr>
              <a:defRPr sz="750" b="0">
                <a:solidFill>
                  <a:srgbClr val="9FB3D1"/>
                </a:solidFill>
                <a:latin typeface="Arial"/>
              </a:defRPr>
            </a:pPr>
            <a:endParaRPr lang="en-US"/>
          </a:p>
        </c:txPr>
        <c:crossAx val="52000002"/>
        <c:crosses val="autoZero"/>
        <c:auto val="0"/>
        <c:lblAlgn val="ctr"/>
        <c:lblOffset val="100"/>
        <c:tickLblSkip val="2"/>
        <c:noMultiLvlLbl val="0"/>
      </c:catAx>
      <c:valAx>
        <c:axId val="52000002"/>
        <c:scaling>
          <c:orientation val="minMax"/>
        </c:scaling>
        <c:delete val="0"/>
        <c:axPos val="l"/>
        <c:majorGridlines>
          <c:spPr>
            <a:ln w="6480">
              <a:solidFill>
                <a:srgbClr val="24425C"/>
              </a:solidFill>
              <a:prstDash val="sysDot"/>
            </a:ln>
          </c:spPr>
        </c:majorGridlines>
        <c:numFmt formatCode="0.0%" sourceLinked="0"/>
        <c:majorTickMark val="none"/>
        <c:minorTickMark val="none"/>
        <c:tickLblPos val="nextTo"/>
        <c:spPr>
          <a:ln w="9360">
            <a:solidFill>
              <a:srgbClr val="24425C"/>
            </a:solidFill>
          </a:ln>
        </c:spPr>
        <c:txPr>
          <a:bodyPr/>
          <a:lstStyle/>
          <a:p>
            <a:pPr>
              <a:defRPr sz="800" b="0">
                <a:solidFill>
                  <a:srgbClr val="9FB3D1"/>
                </a:solidFill>
                <a:latin typeface="Arial"/>
              </a:defRPr>
            </a:pPr>
            <a:endParaRPr lang="en-US"/>
          </a:p>
        </c:txPr>
        <c:crossAx val="52000001"/>
        <c:crosses val="autoZero"/>
        <c:crossBetween val="between"/>
      </c:valAx>
      <c:spPr>
        <a:noFill/>
        <a:ln>
          <a:noFill/>
        </a:ln>
      </c:spPr>
    </c:plotArea>
    <c:legend>
      <c:legendPos val="t"/>
      <c:overlay val="0"/>
      <c:spPr>
        <a:noFill/>
        <a:ln>
          <a:noFill/>
        </a:ln>
      </c:spPr>
      <c:txPr>
        <a:bodyPr/>
        <a:lstStyle/>
        <a:p>
          <a:pPr>
            <a:defRPr sz="800" b="0">
              <a:solidFill>
                <a:srgbClr val="E2EAF7"/>
              </a:solidFill>
              <a:latin typeface="Arial"/>
            </a:defRPr>
          </a:pPr>
          <a:endParaRPr lang="en-US"/>
        </a:p>
      </c:txPr>
    </c:legend>
    <c:plotVisOnly val="1"/>
    <c:dispBlanksAs val="gap"/>
    <c:showDLblsOverMax val="1"/>
  </c:chart>
  <c:spPr>
    <a:solidFill>
      <a:srgbClr val="122B4F"/>
    </a:solidFill>
    <a:ln w="9360">
      <a:noFill/>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bar"/>
        <c:grouping val="stacked"/>
        <c:varyColors val="0"/>
        <c:ser>
          <c:idx val="0"/>
          <c:order val="0"/>
          <c:tx>
            <c:strRef>
              <c:f>'KPI Engine (Final)'!$B$247</c:f>
              <c:strCache>
                <c:ptCount val="1"/>
                <c:pt idx="0">
                  <c:v>Code A</c:v>
                </c:pt>
              </c:strCache>
            </c:strRef>
          </c:tx>
          <c:spPr>
            <a:solidFill>
              <a:srgbClr val="2FBF9B"/>
            </a:solidFill>
            <a:ln w="6350">
              <a:solidFill>
                <a:srgbClr val="122B4F"/>
              </a:solidFill>
            </a:ln>
          </c:spPr>
          <c:invertIfNegative val="0"/>
          <c:dLbls>
            <c:numFmt formatCode="#,##0;;;" sourceLinked="0"/>
            <c:spPr>
              <a:noFill/>
              <a:ln>
                <a:noFill/>
              </a:ln>
            </c:spPr>
            <c:txPr>
              <a:bodyPr/>
              <a:lstStyle/>
              <a:p>
                <a:pPr>
                  <a:defRPr sz="700" b="1">
                    <a:solidFill>
                      <a:srgbClr val="FFFFFF"/>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 Engine (Final)'!$A$248:$A$261</c:f>
              <c:strCache>
                <c:ptCount val="14"/>
                <c:pt idx="0">
                  <c:v>WIR — Work Inspection Request  (710)</c:v>
                </c:pt>
                <c:pt idx="1">
                  <c:v>MIR — Material Inspection Request  (205)</c:v>
                </c:pt>
                <c:pt idx="2">
                  <c:v>SHD — Shop Drawings  (524)</c:v>
                </c:pt>
                <c:pt idx="3">
                  <c:v>RFI — Request for Information  (137)</c:v>
                </c:pt>
                <c:pt idx="4">
                  <c:v>MAS — Material Submittals  (157)</c:v>
                </c:pt>
                <c:pt idx="5">
                  <c:v>PQD — Prequalification Documents  (110)</c:v>
                </c:pt>
                <c:pt idx="6">
                  <c:v>Test Reports  (149)</c:v>
                </c:pt>
                <c:pt idx="7">
                  <c:v>CAL — Calibration Certificates  (86)</c:v>
                </c:pt>
                <c:pt idx="8">
                  <c:v>MET — Method Statements  (37)</c:v>
                </c:pt>
                <c:pt idx="9">
                  <c:v>ITP — Inspection &amp; Test Plans  (16)</c:v>
                </c:pt>
                <c:pt idx="10">
                  <c:v>Plans &amp; Procedures  (29)</c:v>
                </c:pt>
                <c:pt idx="11">
                  <c:v>Technical Reports  (32)</c:v>
                </c:pt>
                <c:pt idx="12">
                  <c:v>WSN — Work Site Notifications  (9)</c:v>
                </c:pt>
                <c:pt idx="13">
                  <c:v>DAR's Submittals  (14)</c:v>
                </c:pt>
              </c:strCache>
            </c:strRef>
          </c:cat>
          <c:val>
            <c:numRef>
              <c:f>'KPI Engine (Final)'!$B$248:$B$261</c:f>
              <c:numCache>
                <c:formatCode>General</c:formatCode>
                <c:ptCount val="14"/>
                <c:pt idx="0">
                  <c:v>53</c:v>
                </c:pt>
                <c:pt idx="1">
                  <c:v>0</c:v>
                </c:pt>
                <c:pt idx="2">
                  <c:v>115</c:v>
                </c:pt>
                <c:pt idx="3">
                  <c:v>0</c:v>
                </c:pt>
                <c:pt idx="4">
                  <c:v>0</c:v>
                </c:pt>
                <c:pt idx="5">
                  <c:v>3</c:v>
                </c:pt>
                <c:pt idx="6">
                  <c:v>23</c:v>
                </c:pt>
                <c:pt idx="7">
                  <c:v>6</c:v>
                </c:pt>
                <c:pt idx="8">
                  <c:v>0</c:v>
                </c:pt>
                <c:pt idx="9">
                  <c:v>0</c:v>
                </c:pt>
                <c:pt idx="10">
                  <c:v>2</c:v>
                </c:pt>
                <c:pt idx="11">
                  <c:v>0</c:v>
                </c:pt>
                <c:pt idx="12">
                  <c:v>0</c:v>
                </c:pt>
                <c:pt idx="13">
                  <c:v>0</c:v>
                </c:pt>
              </c:numCache>
            </c:numRef>
          </c:val>
          <c:extLst>
            <c:ext xmlns:c16="http://schemas.microsoft.com/office/drawing/2014/chart" uri="{C3380CC4-5D6E-409C-BE32-E72D297353CC}">
              <c16:uniqueId val="{00000000-0122-428B-8501-A437D6EF59F7}"/>
            </c:ext>
          </c:extLst>
        </c:ser>
        <c:ser>
          <c:idx val="1"/>
          <c:order val="1"/>
          <c:tx>
            <c:strRef>
              <c:f>'KPI Engine (Final)'!$C$247</c:f>
              <c:strCache>
                <c:ptCount val="1"/>
                <c:pt idx="0">
                  <c:v>Code B</c:v>
                </c:pt>
              </c:strCache>
            </c:strRef>
          </c:tx>
          <c:spPr>
            <a:solidFill>
              <a:srgbClr val="4CC3D9"/>
            </a:solidFill>
            <a:ln w="6350">
              <a:solidFill>
                <a:srgbClr val="122B4F"/>
              </a:solidFill>
            </a:ln>
          </c:spPr>
          <c:invertIfNegative val="0"/>
          <c:dLbls>
            <c:numFmt formatCode="#,##0;;;" sourceLinked="0"/>
            <c:spPr>
              <a:noFill/>
              <a:ln>
                <a:noFill/>
              </a:ln>
            </c:spPr>
            <c:txPr>
              <a:bodyPr/>
              <a:lstStyle/>
              <a:p>
                <a:pPr>
                  <a:defRPr sz="700" b="1">
                    <a:solidFill>
                      <a:srgbClr val="FFFFFF"/>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 Engine (Final)'!$A$248:$A$261</c:f>
              <c:strCache>
                <c:ptCount val="14"/>
                <c:pt idx="0">
                  <c:v>WIR — Work Inspection Request  (710)</c:v>
                </c:pt>
                <c:pt idx="1">
                  <c:v>MIR — Material Inspection Request  (205)</c:v>
                </c:pt>
                <c:pt idx="2">
                  <c:v>SHD — Shop Drawings  (524)</c:v>
                </c:pt>
                <c:pt idx="3">
                  <c:v>RFI — Request for Information  (137)</c:v>
                </c:pt>
                <c:pt idx="4">
                  <c:v>MAS — Material Submittals  (157)</c:v>
                </c:pt>
                <c:pt idx="5">
                  <c:v>PQD — Prequalification Documents  (110)</c:v>
                </c:pt>
                <c:pt idx="6">
                  <c:v>Test Reports  (149)</c:v>
                </c:pt>
                <c:pt idx="7">
                  <c:v>CAL — Calibration Certificates  (86)</c:v>
                </c:pt>
                <c:pt idx="8">
                  <c:v>MET — Method Statements  (37)</c:v>
                </c:pt>
                <c:pt idx="9">
                  <c:v>ITP — Inspection &amp; Test Plans  (16)</c:v>
                </c:pt>
                <c:pt idx="10">
                  <c:v>Plans &amp; Procedures  (29)</c:v>
                </c:pt>
                <c:pt idx="11">
                  <c:v>Technical Reports  (32)</c:v>
                </c:pt>
                <c:pt idx="12">
                  <c:v>WSN — Work Site Notifications  (9)</c:v>
                </c:pt>
                <c:pt idx="13">
                  <c:v>DAR's Submittals  (14)</c:v>
                </c:pt>
              </c:strCache>
            </c:strRef>
          </c:cat>
          <c:val>
            <c:numRef>
              <c:f>'KPI Engine (Final)'!$C$248:$C$261</c:f>
              <c:numCache>
                <c:formatCode>General</c:formatCode>
                <c:ptCount val="14"/>
                <c:pt idx="0">
                  <c:v>567</c:v>
                </c:pt>
                <c:pt idx="1">
                  <c:v>183</c:v>
                </c:pt>
                <c:pt idx="2">
                  <c:v>317</c:v>
                </c:pt>
                <c:pt idx="3">
                  <c:v>0</c:v>
                </c:pt>
                <c:pt idx="4">
                  <c:v>91</c:v>
                </c:pt>
                <c:pt idx="5">
                  <c:v>80</c:v>
                </c:pt>
                <c:pt idx="6">
                  <c:v>96</c:v>
                </c:pt>
                <c:pt idx="7">
                  <c:v>68</c:v>
                </c:pt>
                <c:pt idx="8">
                  <c:v>31</c:v>
                </c:pt>
                <c:pt idx="9">
                  <c:v>14</c:v>
                </c:pt>
                <c:pt idx="10">
                  <c:v>19</c:v>
                </c:pt>
                <c:pt idx="11">
                  <c:v>19</c:v>
                </c:pt>
                <c:pt idx="12">
                  <c:v>5</c:v>
                </c:pt>
                <c:pt idx="13">
                  <c:v>4</c:v>
                </c:pt>
              </c:numCache>
            </c:numRef>
          </c:val>
          <c:extLst>
            <c:ext xmlns:c16="http://schemas.microsoft.com/office/drawing/2014/chart" uri="{C3380CC4-5D6E-409C-BE32-E72D297353CC}">
              <c16:uniqueId val="{00000001-0122-428B-8501-A437D6EF59F7}"/>
            </c:ext>
          </c:extLst>
        </c:ser>
        <c:ser>
          <c:idx val="2"/>
          <c:order val="2"/>
          <c:tx>
            <c:strRef>
              <c:f>'KPI Engine (Final)'!$D$247</c:f>
              <c:strCache>
                <c:ptCount val="1"/>
                <c:pt idx="0">
                  <c:v>Code C</c:v>
                </c:pt>
              </c:strCache>
            </c:strRef>
          </c:tx>
          <c:spPr>
            <a:solidFill>
              <a:srgbClr val="E3B341"/>
            </a:solidFill>
            <a:ln w="6350">
              <a:solidFill>
                <a:srgbClr val="122B4F"/>
              </a:solidFill>
            </a:ln>
          </c:spPr>
          <c:invertIfNegative val="0"/>
          <c:cat>
            <c:strRef>
              <c:f>'KPI Engine (Final)'!$A$248:$A$261</c:f>
              <c:strCache>
                <c:ptCount val="14"/>
                <c:pt idx="0">
                  <c:v>WIR — Work Inspection Request  (710)</c:v>
                </c:pt>
                <c:pt idx="1">
                  <c:v>MIR — Material Inspection Request  (205)</c:v>
                </c:pt>
                <c:pt idx="2">
                  <c:v>SHD — Shop Drawings  (524)</c:v>
                </c:pt>
                <c:pt idx="3">
                  <c:v>RFI — Request for Information  (137)</c:v>
                </c:pt>
                <c:pt idx="4">
                  <c:v>MAS — Material Submittals  (157)</c:v>
                </c:pt>
                <c:pt idx="5">
                  <c:v>PQD — Prequalification Documents  (110)</c:v>
                </c:pt>
                <c:pt idx="6">
                  <c:v>Test Reports  (149)</c:v>
                </c:pt>
                <c:pt idx="7">
                  <c:v>CAL — Calibration Certificates  (86)</c:v>
                </c:pt>
                <c:pt idx="8">
                  <c:v>MET — Method Statements  (37)</c:v>
                </c:pt>
                <c:pt idx="9">
                  <c:v>ITP — Inspection &amp; Test Plans  (16)</c:v>
                </c:pt>
                <c:pt idx="10">
                  <c:v>Plans &amp; Procedures  (29)</c:v>
                </c:pt>
                <c:pt idx="11">
                  <c:v>Technical Reports  (32)</c:v>
                </c:pt>
                <c:pt idx="12">
                  <c:v>WSN — Work Site Notifications  (9)</c:v>
                </c:pt>
                <c:pt idx="13">
                  <c:v>DAR's Submittals  (14)</c:v>
                </c:pt>
              </c:strCache>
            </c:strRef>
          </c:cat>
          <c:val>
            <c:numRef>
              <c:f>'KPI Engine (Final)'!$D$248:$D$261</c:f>
              <c:numCache>
                <c:formatCode>General</c:formatCode>
                <c:ptCount val="14"/>
                <c:pt idx="0">
                  <c:v>2</c:v>
                </c:pt>
                <c:pt idx="1">
                  <c:v>1</c:v>
                </c:pt>
                <c:pt idx="2">
                  <c:v>4</c:v>
                </c:pt>
                <c:pt idx="3">
                  <c:v>0</c:v>
                </c:pt>
                <c:pt idx="4">
                  <c:v>6</c:v>
                </c:pt>
                <c:pt idx="5">
                  <c:v>2</c:v>
                </c:pt>
                <c:pt idx="6">
                  <c:v>2</c:v>
                </c:pt>
                <c:pt idx="7">
                  <c:v>0</c:v>
                </c:pt>
                <c:pt idx="8">
                  <c:v>1</c:v>
                </c:pt>
                <c:pt idx="9">
                  <c:v>0</c:v>
                </c:pt>
                <c:pt idx="10">
                  <c:v>1</c:v>
                </c:pt>
                <c:pt idx="11">
                  <c:v>1</c:v>
                </c:pt>
                <c:pt idx="12">
                  <c:v>0</c:v>
                </c:pt>
                <c:pt idx="13">
                  <c:v>0</c:v>
                </c:pt>
              </c:numCache>
            </c:numRef>
          </c:val>
          <c:extLst>
            <c:ext xmlns:c16="http://schemas.microsoft.com/office/drawing/2014/chart" uri="{C3380CC4-5D6E-409C-BE32-E72D297353CC}">
              <c16:uniqueId val="{00000002-0122-428B-8501-A437D6EF59F7}"/>
            </c:ext>
          </c:extLst>
        </c:ser>
        <c:ser>
          <c:idx val="3"/>
          <c:order val="3"/>
          <c:tx>
            <c:strRef>
              <c:f>'KPI Engine (Final)'!$E$247</c:f>
              <c:strCache>
                <c:ptCount val="1"/>
                <c:pt idx="0">
                  <c:v>Acknowledged</c:v>
                </c:pt>
              </c:strCache>
            </c:strRef>
          </c:tx>
          <c:spPr>
            <a:solidFill>
              <a:srgbClr val="5B7DB1"/>
            </a:solidFill>
            <a:ln w="6350">
              <a:solidFill>
                <a:srgbClr val="122B4F"/>
              </a:solidFill>
            </a:ln>
          </c:spPr>
          <c:invertIfNegative val="0"/>
          <c:cat>
            <c:strRef>
              <c:f>'KPI Engine (Final)'!$A$248:$A$261</c:f>
              <c:strCache>
                <c:ptCount val="14"/>
                <c:pt idx="0">
                  <c:v>WIR — Work Inspection Request  (710)</c:v>
                </c:pt>
                <c:pt idx="1">
                  <c:v>MIR — Material Inspection Request  (205)</c:v>
                </c:pt>
                <c:pt idx="2">
                  <c:v>SHD — Shop Drawings  (524)</c:v>
                </c:pt>
                <c:pt idx="3">
                  <c:v>RFI — Request for Information  (137)</c:v>
                </c:pt>
                <c:pt idx="4">
                  <c:v>MAS — Material Submittals  (157)</c:v>
                </c:pt>
                <c:pt idx="5">
                  <c:v>PQD — Prequalification Documents  (110)</c:v>
                </c:pt>
                <c:pt idx="6">
                  <c:v>Test Reports  (149)</c:v>
                </c:pt>
                <c:pt idx="7">
                  <c:v>CAL — Calibration Certificates  (86)</c:v>
                </c:pt>
                <c:pt idx="8">
                  <c:v>MET — Method Statements  (37)</c:v>
                </c:pt>
                <c:pt idx="9">
                  <c:v>ITP — Inspection &amp; Test Plans  (16)</c:v>
                </c:pt>
                <c:pt idx="10">
                  <c:v>Plans &amp; Procedures  (29)</c:v>
                </c:pt>
                <c:pt idx="11">
                  <c:v>Technical Reports  (32)</c:v>
                </c:pt>
                <c:pt idx="12">
                  <c:v>WSN — Work Site Notifications  (9)</c:v>
                </c:pt>
                <c:pt idx="13">
                  <c:v>DAR's Submittals  (14)</c:v>
                </c:pt>
              </c:strCache>
            </c:strRef>
          </c:cat>
          <c:val>
            <c:numRef>
              <c:f>'KPI Engine (Final)'!$E$248:$E$261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4</c:v>
                </c:pt>
                <c:pt idx="12">
                  <c:v>0</c:v>
                </c:pt>
                <c:pt idx="13">
                  <c:v>8</c:v>
                </c:pt>
              </c:numCache>
            </c:numRef>
          </c:val>
          <c:extLst>
            <c:ext xmlns:c16="http://schemas.microsoft.com/office/drawing/2014/chart" uri="{C3380CC4-5D6E-409C-BE32-E72D297353CC}">
              <c16:uniqueId val="{00000003-0122-428B-8501-A437D6EF59F7}"/>
            </c:ext>
          </c:extLst>
        </c:ser>
        <c:ser>
          <c:idx val="4"/>
          <c:order val="4"/>
          <c:tx>
            <c:strRef>
              <c:f>'KPI Engine (Final)'!$F$247</c:f>
              <c:strCache>
                <c:ptCount val="1"/>
                <c:pt idx="0">
                  <c:v>Rejected</c:v>
                </c:pt>
              </c:strCache>
            </c:strRef>
          </c:tx>
          <c:spPr>
            <a:solidFill>
              <a:srgbClr val="E4572E"/>
            </a:solidFill>
            <a:ln w="6350">
              <a:solidFill>
                <a:srgbClr val="122B4F"/>
              </a:solidFill>
            </a:ln>
          </c:spPr>
          <c:invertIfNegative val="0"/>
          <c:cat>
            <c:strRef>
              <c:f>'KPI Engine (Final)'!$A$248:$A$261</c:f>
              <c:strCache>
                <c:ptCount val="14"/>
                <c:pt idx="0">
                  <c:v>WIR — Work Inspection Request  (710)</c:v>
                </c:pt>
                <c:pt idx="1">
                  <c:v>MIR — Material Inspection Request  (205)</c:v>
                </c:pt>
                <c:pt idx="2">
                  <c:v>SHD — Shop Drawings  (524)</c:v>
                </c:pt>
                <c:pt idx="3">
                  <c:v>RFI — Request for Information  (137)</c:v>
                </c:pt>
                <c:pt idx="4">
                  <c:v>MAS — Material Submittals  (157)</c:v>
                </c:pt>
                <c:pt idx="5">
                  <c:v>PQD — Prequalification Documents  (110)</c:v>
                </c:pt>
                <c:pt idx="6">
                  <c:v>Test Reports  (149)</c:v>
                </c:pt>
                <c:pt idx="7">
                  <c:v>CAL — Calibration Certificates  (86)</c:v>
                </c:pt>
                <c:pt idx="8">
                  <c:v>MET — Method Statements  (37)</c:v>
                </c:pt>
                <c:pt idx="9">
                  <c:v>ITP — Inspection &amp; Test Plans  (16)</c:v>
                </c:pt>
                <c:pt idx="10">
                  <c:v>Plans &amp; Procedures  (29)</c:v>
                </c:pt>
                <c:pt idx="11">
                  <c:v>Technical Reports  (32)</c:v>
                </c:pt>
                <c:pt idx="12">
                  <c:v>WSN — Work Site Notifications  (9)</c:v>
                </c:pt>
                <c:pt idx="13">
                  <c:v>DAR's Submittals  (14)</c:v>
                </c:pt>
              </c:strCache>
            </c:strRef>
          </c:cat>
          <c:val>
            <c:numRef>
              <c:f>'KPI Engine (Final)'!$F$248:$F$261</c:f>
              <c:numCache>
                <c:formatCode>General</c:formatCode>
                <c:ptCount val="14"/>
                <c:pt idx="0">
                  <c:v>3</c:v>
                </c:pt>
                <c:pt idx="1">
                  <c:v>0</c:v>
                </c:pt>
                <c:pt idx="2">
                  <c:v>0</c:v>
                </c:pt>
                <c:pt idx="3">
                  <c:v>0</c:v>
                </c:pt>
                <c:pt idx="4">
                  <c:v>0</c:v>
                </c:pt>
                <c:pt idx="5">
                  <c:v>1</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4-0122-428B-8501-A437D6EF59F7}"/>
            </c:ext>
          </c:extLst>
        </c:ser>
        <c:ser>
          <c:idx val="5"/>
          <c:order val="5"/>
          <c:tx>
            <c:strRef>
              <c:f>'KPI Engine (Final)'!$G$247</c:f>
              <c:strCache>
                <c:ptCount val="1"/>
                <c:pt idx="0">
                  <c:v>Returned</c:v>
                </c:pt>
              </c:strCache>
            </c:strRef>
          </c:tx>
          <c:spPr>
            <a:solidFill>
              <a:srgbClr val="F28C28"/>
            </a:solidFill>
            <a:ln w="6350">
              <a:solidFill>
                <a:srgbClr val="122B4F"/>
              </a:solidFill>
            </a:ln>
          </c:spPr>
          <c:invertIfNegative val="0"/>
          <c:dLbls>
            <c:numFmt formatCode="#,##0;;;" sourceLinked="0"/>
            <c:spPr>
              <a:noFill/>
              <a:ln>
                <a:noFill/>
              </a:ln>
            </c:spPr>
            <c:txPr>
              <a:bodyPr/>
              <a:lstStyle/>
              <a:p>
                <a:pPr>
                  <a:defRPr sz="700" b="1">
                    <a:solidFill>
                      <a:srgbClr val="FFFFFF"/>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 Engine (Final)'!$A$248:$A$261</c:f>
              <c:strCache>
                <c:ptCount val="14"/>
                <c:pt idx="0">
                  <c:v>WIR — Work Inspection Request  (710)</c:v>
                </c:pt>
                <c:pt idx="1">
                  <c:v>MIR — Material Inspection Request  (205)</c:v>
                </c:pt>
                <c:pt idx="2">
                  <c:v>SHD — Shop Drawings  (524)</c:v>
                </c:pt>
                <c:pt idx="3">
                  <c:v>RFI — Request for Information  (137)</c:v>
                </c:pt>
                <c:pt idx="4">
                  <c:v>MAS — Material Submittals  (157)</c:v>
                </c:pt>
                <c:pt idx="5">
                  <c:v>PQD — Prequalification Documents  (110)</c:v>
                </c:pt>
                <c:pt idx="6">
                  <c:v>Test Reports  (149)</c:v>
                </c:pt>
                <c:pt idx="7">
                  <c:v>CAL — Calibration Certificates  (86)</c:v>
                </c:pt>
                <c:pt idx="8">
                  <c:v>MET — Method Statements  (37)</c:v>
                </c:pt>
                <c:pt idx="9">
                  <c:v>ITP — Inspection &amp; Test Plans  (16)</c:v>
                </c:pt>
                <c:pt idx="10">
                  <c:v>Plans &amp; Procedures  (29)</c:v>
                </c:pt>
                <c:pt idx="11">
                  <c:v>Technical Reports  (32)</c:v>
                </c:pt>
                <c:pt idx="12">
                  <c:v>WSN — Work Site Notifications  (9)</c:v>
                </c:pt>
                <c:pt idx="13">
                  <c:v>DAR's Submittals  (14)</c:v>
                </c:pt>
              </c:strCache>
            </c:strRef>
          </c:cat>
          <c:val>
            <c:numRef>
              <c:f>'KPI Engine (Final)'!$G$248:$G$261</c:f>
              <c:numCache>
                <c:formatCode>General</c:formatCode>
                <c:ptCount val="14"/>
                <c:pt idx="0">
                  <c:v>53</c:v>
                </c:pt>
                <c:pt idx="1">
                  <c:v>7</c:v>
                </c:pt>
                <c:pt idx="2">
                  <c:v>26</c:v>
                </c:pt>
                <c:pt idx="3">
                  <c:v>5</c:v>
                </c:pt>
                <c:pt idx="4">
                  <c:v>37</c:v>
                </c:pt>
                <c:pt idx="5">
                  <c:v>14</c:v>
                </c:pt>
                <c:pt idx="6">
                  <c:v>15</c:v>
                </c:pt>
                <c:pt idx="7">
                  <c:v>4</c:v>
                </c:pt>
                <c:pt idx="8">
                  <c:v>3</c:v>
                </c:pt>
                <c:pt idx="9">
                  <c:v>2</c:v>
                </c:pt>
                <c:pt idx="10">
                  <c:v>7</c:v>
                </c:pt>
                <c:pt idx="11">
                  <c:v>6</c:v>
                </c:pt>
                <c:pt idx="12">
                  <c:v>1</c:v>
                </c:pt>
                <c:pt idx="13">
                  <c:v>0</c:v>
                </c:pt>
              </c:numCache>
            </c:numRef>
          </c:val>
          <c:extLst>
            <c:ext xmlns:c16="http://schemas.microsoft.com/office/drawing/2014/chart" uri="{C3380CC4-5D6E-409C-BE32-E72D297353CC}">
              <c16:uniqueId val="{00000005-0122-428B-8501-A437D6EF59F7}"/>
            </c:ext>
          </c:extLst>
        </c:ser>
        <c:ser>
          <c:idx val="6"/>
          <c:order val="6"/>
          <c:tx>
            <c:strRef>
              <c:f>'KPI Engine (Final)'!$H$247</c:f>
              <c:strCache>
                <c:ptCount val="1"/>
                <c:pt idx="0">
                  <c:v>Withdrawn</c:v>
                </c:pt>
              </c:strCache>
            </c:strRef>
          </c:tx>
          <c:spPr>
            <a:solidFill>
              <a:srgbClr val="7F97BA"/>
            </a:solidFill>
            <a:ln w="6350">
              <a:solidFill>
                <a:srgbClr val="122B4F"/>
              </a:solidFill>
            </a:ln>
          </c:spPr>
          <c:invertIfNegative val="0"/>
          <c:cat>
            <c:strRef>
              <c:f>'KPI Engine (Final)'!$A$248:$A$261</c:f>
              <c:strCache>
                <c:ptCount val="14"/>
                <c:pt idx="0">
                  <c:v>WIR — Work Inspection Request  (710)</c:v>
                </c:pt>
                <c:pt idx="1">
                  <c:v>MIR — Material Inspection Request  (205)</c:v>
                </c:pt>
                <c:pt idx="2">
                  <c:v>SHD — Shop Drawings  (524)</c:v>
                </c:pt>
                <c:pt idx="3">
                  <c:v>RFI — Request for Information  (137)</c:v>
                </c:pt>
                <c:pt idx="4">
                  <c:v>MAS — Material Submittals  (157)</c:v>
                </c:pt>
                <c:pt idx="5">
                  <c:v>PQD — Prequalification Documents  (110)</c:v>
                </c:pt>
                <c:pt idx="6">
                  <c:v>Test Reports  (149)</c:v>
                </c:pt>
                <c:pt idx="7">
                  <c:v>CAL — Calibration Certificates  (86)</c:v>
                </c:pt>
                <c:pt idx="8">
                  <c:v>MET — Method Statements  (37)</c:v>
                </c:pt>
                <c:pt idx="9">
                  <c:v>ITP — Inspection &amp; Test Plans  (16)</c:v>
                </c:pt>
                <c:pt idx="10">
                  <c:v>Plans &amp; Procedures  (29)</c:v>
                </c:pt>
                <c:pt idx="11">
                  <c:v>Technical Reports  (32)</c:v>
                </c:pt>
                <c:pt idx="12">
                  <c:v>WSN — Work Site Notifications  (9)</c:v>
                </c:pt>
                <c:pt idx="13">
                  <c:v>DAR's Submittals  (14)</c:v>
                </c:pt>
              </c:strCache>
            </c:strRef>
          </c:cat>
          <c:val>
            <c:numRef>
              <c:f>'KPI Engine (Final)'!$H$248:$H$261</c:f>
              <c:numCache>
                <c:formatCode>General</c:formatCode>
                <c:ptCount val="14"/>
                <c:pt idx="0">
                  <c:v>21</c:v>
                </c:pt>
                <c:pt idx="1">
                  <c:v>12</c:v>
                </c:pt>
                <c:pt idx="2">
                  <c:v>40</c:v>
                </c:pt>
                <c:pt idx="3">
                  <c:v>19</c:v>
                </c:pt>
                <c:pt idx="4">
                  <c:v>18</c:v>
                </c:pt>
                <c:pt idx="5">
                  <c:v>9</c:v>
                </c:pt>
                <c:pt idx="6">
                  <c:v>11</c:v>
                </c:pt>
                <c:pt idx="7">
                  <c:v>4</c:v>
                </c:pt>
                <c:pt idx="8">
                  <c:v>2</c:v>
                </c:pt>
                <c:pt idx="9">
                  <c:v>0</c:v>
                </c:pt>
                <c:pt idx="10">
                  <c:v>0</c:v>
                </c:pt>
                <c:pt idx="11">
                  <c:v>1</c:v>
                </c:pt>
                <c:pt idx="12">
                  <c:v>3</c:v>
                </c:pt>
                <c:pt idx="13">
                  <c:v>0</c:v>
                </c:pt>
              </c:numCache>
            </c:numRef>
          </c:val>
          <c:extLst>
            <c:ext xmlns:c16="http://schemas.microsoft.com/office/drawing/2014/chart" uri="{C3380CC4-5D6E-409C-BE32-E72D297353CC}">
              <c16:uniqueId val="{00000006-0122-428B-8501-A437D6EF59F7}"/>
            </c:ext>
          </c:extLst>
        </c:ser>
        <c:ser>
          <c:idx val="7"/>
          <c:order val="7"/>
          <c:tx>
            <c:strRef>
              <c:f>'KPI Engine (Final)'!$I$247</c:f>
              <c:strCache>
                <c:ptCount val="1"/>
                <c:pt idx="0">
                  <c:v>Under review / open</c:v>
                </c:pt>
              </c:strCache>
            </c:strRef>
          </c:tx>
          <c:spPr>
            <a:solidFill>
              <a:srgbClr val="9B7EDE"/>
            </a:solidFill>
            <a:ln w="6350">
              <a:solidFill>
                <a:srgbClr val="122B4F"/>
              </a:solidFill>
            </a:ln>
          </c:spPr>
          <c:invertIfNegative val="0"/>
          <c:dLbls>
            <c:numFmt formatCode="#,##0;;;" sourceLinked="0"/>
            <c:spPr>
              <a:noFill/>
              <a:ln>
                <a:noFill/>
              </a:ln>
            </c:spPr>
            <c:txPr>
              <a:bodyPr/>
              <a:lstStyle/>
              <a:p>
                <a:pPr>
                  <a:defRPr sz="700" b="1">
                    <a:solidFill>
                      <a:srgbClr val="FFFFFF"/>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 Engine (Final)'!$A$248:$A$261</c:f>
              <c:strCache>
                <c:ptCount val="14"/>
                <c:pt idx="0">
                  <c:v>WIR — Work Inspection Request  (710)</c:v>
                </c:pt>
                <c:pt idx="1">
                  <c:v>MIR — Material Inspection Request  (205)</c:v>
                </c:pt>
                <c:pt idx="2">
                  <c:v>SHD — Shop Drawings  (524)</c:v>
                </c:pt>
                <c:pt idx="3">
                  <c:v>RFI — Request for Information  (137)</c:v>
                </c:pt>
                <c:pt idx="4">
                  <c:v>MAS — Material Submittals  (157)</c:v>
                </c:pt>
                <c:pt idx="5">
                  <c:v>PQD — Prequalification Documents  (110)</c:v>
                </c:pt>
                <c:pt idx="6">
                  <c:v>Test Reports  (149)</c:v>
                </c:pt>
                <c:pt idx="7">
                  <c:v>CAL — Calibration Certificates  (86)</c:v>
                </c:pt>
                <c:pt idx="8">
                  <c:v>MET — Method Statements  (37)</c:v>
                </c:pt>
                <c:pt idx="9">
                  <c:v>ITP — Inspection &amp; Test Plans  (16)</c:v>
                </c:pt>
                <c:pt idx="10">
                  <c:v>Plans &amp; Procedures  (29)</c:v>
                </c:pt>
                <c:pt idx="11">
                  <c:v>Technical Reports  (32)</c:v>
                </c:pt>
                <c:pt idx="12">
                  <c:v>WSN — Work Site Notifications  (9)</c:v>
                </c:pt>
                <c:pt idx="13">
                  <c:v>DAR's Submittals  (14)</c:v>
                </c:pt>
              </c:strCache>
            </c:strRef>
          </c:cat>
          <c:val>
            <c:numRef>
              <c:f>'KPI Engine (Final)'!$I$248:$I$261</c:f>
              <c:numCache>
                <c:formatCode>General</c:formatCode>
                <c:ptCount val="14"/>
                <c:pt idx="0">
                  <c:v>11</c:v>
                </c:pt>
                <c:pt idx="1">
                  <c:v>2</c:v>
                </c:pt>
                <c:pt idx="2">
                  <c:v>22</c:v>
                </c:pt>
                <c:pt idx="3">
                  <c:v>4</c:v>
                </c:pt>
                <c:pt idx="4">
                  <c:v>5</c:v>
                </c:pt>
                <c:pt idx="5">
                  <c:v>1</c:v>
                </c:pt>
                <c:pt idx="6">
                  <c:v>2</c:v>
                </c:pt>
                <c:pt idx="7">
                  <c:v>4</c:v>
                </c:pt>
                <c:pt idx="8">
                  <c:v>0</c:v>
                </c:pt>
                <c:pt idx="9">
                  <c:v>0</c:v>
                </c:pt>
                <c:pt idx="10">
                  <c:v>0</c:v>
                </c:pt>
                <c:pt idx="11">
                  <c:v>1</c:v>
                </c:pt>
                <c:pt idx="12">
                  <c:v>0</c:v>
                </c:pt>
                <c:pt idx="13">
                  <c:v>2</c:v>
                </c:pt>
              </c:numCache>
            </c:numRef>
          </c:val>
          <c:extLst>
            <c:ext xmlns:c16="http://schemas.microsoft.com/office/drawing/2014/chart" uri="{C3380CC4-5D6E-409C-BE32-E72D297353CC}">
              <c16:uniqueId val="{00000007-0122-428B-8501-A437D6EF59F7}"/>
            </c:ext>
          </c:extLst>
        </c:ser>
        <c:ser>
          <c:idx val="8"/>
          <c:order val="8"/>
          <c:tx>
            <c:strRef>
              <c:f>'KPI Engine (Final)'!$J$247</c:f>
              <c:strCache>
                <c:ptCount val="1"/>
                <c:pt idx="0">
                  <c:v>Closed - no review code</c:v>
                </c:pt>
              </c:strCache>
            </c:strRef>
          </c:tx>
          <c:spPr>
            <a:solidFill>
              <a:srgbClr val="3A5A80"/>
            </a:solidFill>
            <a:ln w="6350">
              <a:solidFill>
                <a:srgbClr val="122B4F"/>
              </a:solidFill>
            </a:ln>
          </c:spPr>
          <c:invertIfNegative val="0"/>
          <c:dLbls>
            <c:numFmt formatCode="#,##0;;;" sourceLinked="0"/>
            <c:spPr>
              <a:noFill/>
              <a:ln>
                <a:noFill/>
              </a:ln>
            </c:spPr>
            <c:txPr>
              <a:bodyPr/>
              <a:lstStyle/>
              <a:p>
                <a:pPr>
                  <a:defRPr sz="700" b="1">
                    <a:solidFill>
                      <a:srgbClr val="FFFFFF"/>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 Engine (Final)'!$A$248:$A$261</c:f>
              <c:strCache>
                <c:ptCount val="14"/>
                <c:pt idx="0">
                  <c:v>WIR — Work Inspection Request  (710)</c:v>
                </c:pt>
                <c:pt idx="1">
                  <c:v>MIR — Material Inspection Request  (205)</c:v>
                </c:pt>
                <c:pt idx="2">
                  <c:v>SHD — Shop Drawings  (524)</c:v>
                </c:pt>
                <c:pt idx="3">
                  <c:v>RFI — Request for Information  (137)</c:v>
                </c:pt>
                <c:pt idx="4">
                  <c:v>MAS — Material Submittals  (157)</c:v>
                </c:pt>
                <c:pt idx="5">
                  <c:v>PQD — Prequalification Documents  (110)</c:v>
                </c:pt>
                <c:pt idx="6">
                  <c:v>Test Reports  (149)</c:v>
                </c:pt>
                <c:pt idx="7">
                  <c:v>CAL — Calibration Certificates  (86)</c:v>
                </c:pt>
                <c:pt idx="8">
                  <c:v>MET — Method Statements  (37)</c:v>
                </c:pt>
                <c:pt idx="9">
                  <c:v>ITP — Inspection &amp; Test Plans  (16)</c:v>
                </c:pt>
                <c:pt idx="10">
                  <c:v>Plans &amp; Procedures  (29)</c:v>
                </c:pt>
                <c:pt idx="11">
                  <c:v>Technical Reports  (32)</c:v>
                </c:pt>
                <c:pt idx="12">
                  <c:v>WSN — Work Site Notifications  (9)</c:v>
                </c:pt>
                <c:pt idx="13">
                  <c:v>DAR's Submittals  (14)</c:v>
                </c:pt>
              </c:strCache>
            </c:strRef>
          </c:cat>
          <c:val>
            <c:numRef>
              <c:f>'KPI Engine (Final)'!$J$248:$J$261</c:f>
              <c:numCache>
                <c:formatCode>General</c:formatCode>
                <c:ptCount val="14"/>
                <c:pt idx="0">
                  <c:v>0</c:v>
                </c:pt>
                <c:pt idx="1">
                  <c:v>0</c:v>
                </c:pt>
                <c:pt idx="2">
                  <c:v>0</c:v>
                </c:pt>
                <c:pt idx="3">
                  <c:v>109</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8-0122-428B-8501-A437D6EF59F7}"/>
            </c:ext>
          </c:extLst>
        </c:ser>
        <c:dLbls>
          <c:showLegendKey val="0"/>
          <c:showVal val="0"/>
          <c:showCatName val="0"/>
          <c:showSerName val="0"/>
          <c:showPercent val="0"/>
          <c:showBubbleSize val="0"/>
        </c:dLbls>
        <c:gapWidth val="45"/>
        <c:overlap val="100"/>
        <c:axId val="51000001"/>
        <c:axId val="51000002"/>
      </c:barChart>
      <c:catAx>
        <c:axId val="51000001"/>
        <c:scaling>
          <c:orientation val="maxMin"/>
        </c:scaling>
        <c:delete val="0"/>
        <c:axPos val="l"/>
        <c:numFmt formatCode="General" sourceLinked="0"/>
        <c:majorTickMark val="none"/>
        <c:minorTickMark val="none"/>
        <c:tickLblPos val="nextTo"/>
        <c:spPr>
          <a:ln w="9360">
            <a:solidFill>
              <a:srgbClr val="24425C"/>
            </a:solidFill>
          </a:ln>
        </c:spPr>
        <c:txPr>
          <a:bodyPr/>
          <a:lstStyle/>
          <a:p>
            <a:pPr>
              <a:defRPr sz="800" b="0">
                <a:solidFill>
                  <a:srgbClr val="E2EAF7"/>
                </a:solidFill>
                <a:latin typeface="Arial"/>
              </a:defRPr>
            </a:pPr>
            <a:endParaRPr lang="en-US"/>
          </a:p>
        </c:txPr>
        <c:crossAx val="51000002"/>
        <c:crosses val="autoZero"/>
        <c:auto val="1"/>
        <c:lblAlgn val="ctr"/>
        <c:lblOffset val="100"/>
        <c:noMultiLvlLbl val="0"/>
      </c:catAx>
      <c:valAx>
        <c:axId val="51000002"/>
        <c:scaling>
          <c:orientation val="minMax"/>
        </c:scaling>
        <c:delete val="0"/>
        <c:axPos val="b"/>
        <c:majorGridlines>
          <c:spPr>
            <a:ln w="6480">
              <a:solidFill>
                <a:srgbClr val="24425C"/>
              </a:solidFill>
              <a:prstDash val="sysDot"/>
            </a:ln>
          </c:spPr>
        </c:majorGridlines>
        <c:numFmt formatCode="#,##0" sourceLinked="0"/>
        <c:majorTickMark val="none"/>
        <c:minorTickMark val="none"/>
        <c:tickLblPos val="nextTo"/>
        <c:spPr>
          <a:ln w="9360">
            <a:solidFill>
              <a:srgbClr val="24425C"/>
            </a:solidFill>
          </a:ln>
        </c:spPr>
        <c:txPr>
          <a:bodyPr/>
          <a:lstStyle/>
          <a:p>
            <a:pPr>
              <a:defRPr sz="700" b="0">
                <a:solidFill>
                  <a:srgbClr val="9FB3D1"/>
                </a:solidFill>
                <a:latin typeface="Arial"/>
              </a:defRPr>
            </a:pPr>
            <a:endParaRPr lang="en-US"/>
          </a:p>
        </c:txPr>
        <c:crossAx val="51000001"/>
        <c:crosses val="max"/>
        <c:crossBetween val="between"/>
      </c:valAx>
      <c:spPr>
        <a:noFill/>
        <a:ln>
          <a:noFill/>
        </a:ln>
      </c:spPr>
    </c:plotArea>
    <c:legend>
      <c:legendPos val="b"/>
      <c:overlay val="0"/>
      <c:spPr>
        <a:noFill/>
        <a:ln>
          <a:noFill/>
        </a:ln>
      </c:spPr>
      <c:txPr>
        <a:bodyPr/>
        <a:lstStyle/>
        <a:p>
          <a:pPr>
            <a:defRPr sz="800" b="0">
              <a:solidFill>
                <a:srgbClr val="E2EAF7"/>
              </a:solidFill>
              <a:latin typeface="Arial"/>
            </a:defRPr>
          </a:pPr>
          <a:endParaRPr lang="en-US"/>
        </a:p>
      </c:txPr>
    </c:legend>
    <c:plotVisOnly val="1"/>
    <c:dispBlanksAs val="gap"/>
    <c:showDLblsOverMax val="1"/>
  </c:chart>
  <c:spPr>
    <a:solidFill>
      <a:srgbClr val="122B4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10</xdr:col>
      <xdr:colOff>0</xdr:colOff>
      <xdr:row>59</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43</xdr:row>
      <xdr:rowOff>0</xdr:rowOff>
    </xdr:from>
    <xdr:to>
      <xdr:col>19</xdr:col>
      <xdr:colOff>0</xdr:colOff>
      <xdr:row>59</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0</xdr:colOff>
      <xdr:row>43</xdr:row>
      <xdr:rowOff>0</xdr:rowOff>
    </xdr:from>
    <xdr:to>
      <xdr:col>28</xdr:col>
      <xdr:colOff>0</xdr:colOff>
      <xdr:row>59</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62</xdr:row>
      <xdr:rowOff>0</xdr:rowOff>
    </xdr:from>
    <xdr:to>
      <xdr:col>10</xdr:col>
      <xdr:colOff>0</xdr:colOff>
      <xdr:row>78</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0</xdr:colOff>
      <xdr:row>62</xdr:row>
      <xdr:rowOff>0</xdr:rowOff>
    </xdr:from>
    <xdr:to>
      <xdr:col>19</xdr:col>
      <xdr:colOff>0</xdr:colOff>
      <xdr:row>78</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0</xdr:colOff>
      <xdr:row>62</xdr:row>
      <xdr:rowOff>0</xdr:rowOff>
    </xdr:from>
    <xdr:to>
      <xdr:col>28</xdr:col>
      <xdr:colOff>0</xdr:colOff>
      <xdr:row>78</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90</xdr:row>
      <xdr:rowOff>0</xdr:rowOff>
    </xdr:from>
    <xdr:to>
      <xdr:col>7</xdr:col>
      <xdr:colOff>222855</xdr:colOff>
      <xdr:row>101</xdr:row>
      <xdr:rowOff>111150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0</xdr:colOff>
      <xdr:row>90</xdr:row>
      <xdr:rowOff>0</xdr:rowOff>
    </xdr:from>
    <xdr:to>
      <xdr:col>16</xdr:col>
      <xdr:colOff>222856</xdr:colOff>
      <xdr:row>101</xdr:row>
      <xdr:rowOff>111150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0</xdr:colOff>
      <xdr:row>90</xdr:row>
      <xdr:rowOff>0</xdr:rowOff>
    </xdr:from>
    <xdr:to>
      <xdr:col>23</xdr:col>
      <xdr:colOff>343990</xdr:colOff>
      <xdr:row>101</xdr:row>
      <xdr:rowOff>111150</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0</xdr:colOff>
      <xdr:row>110</xdr:row>
      <xdr:rowOff>0</xdr:rowOff>
    </xdr:from>
    <xdr:to>
      <xdr:col>14</xdr:col>
      <xdr:colOff>70706</xdr:colOff>
      <xdr:row>122</xdr:row>
      <xdr:rowOff>30615</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20</xdr:col>
      <xdr:colOff>0</xdr:colOff>
      <xdr:row>110</xdr:row>
      <xdr:rowOff>0</xdr:rowOff>
    </xdr:from>
    <xdr:to>
      <xdr:col>24</xdr:col>
      <xdr:colOff>343991</xdr:colOff>
      <xdr:row>122</xdr:row>
      <xdr:rowOff>30615</xdr:rowOff>
    </xdr:to>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0</xdr:colOff>
      <xdr:row>153</xdr:row>
      <xdr:rowOff>0</xdr:rowOff>
    </xdr:from>
    <xdr:to>
      <xdr:col>10</xdr:col>
      <xdr:colOff>118228</xdr:colOff>
      <xdr:row>165</xdr:row>
      <xdr:rowOff>30615</xdr:rowOff>
    </xdr:to>
    <xdr:graphicFrame macro="">
      <xdr:nvGraphicFramePr>
        <xdr:cNvPr id="13" name="Chart 12">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15</xdr:col>
      <xdr:colOff>0</xdr:colOff>
      <xdr:row>153</xdr:row>
      <xdr:rowOff>0</xdr:rowOff>
    </xdr:from>
    <xdr:to>
      <xdr:col>22</xdr:col>
      <xdr:colOff>111516</xdr:colOff>
      <xdr:row>165</xdr:row>
      <xdr:rowOff>30615</xdr:rowOff>
    </xdr:to>
    <xdr:graphicFrame macro="">
      <xdr:nvGraphicFramePr>
        <xdr:cNvPr id="14" name="Chart 13">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0</xdr:colOff>
      <xdr:row>236</xdr:row>
      <xdr:rowOff>0</xdr:rowOff>
    </xdr:from>
    <xdr:to>
      <xdr:col>10</xdr:col>
      <xdr:colOff>0</xdr:colOff>
      <xdr:row>252</xdr:row>
      <xdr:rowOff>0</xdr:rowOff>
    </xdr:to>
    <xdr:graphicFrame macro="">
      <xdr:nvGraphicFramePr>
        <xdr:cNvPr id="15" name="Chart 14">
          <a:extLst>
            <a:ext uri="{FF2B5EF4-FFF2-40B4-BE49-F238E27FC236}">
              <a16:creationId xmlns:a16="http://schemas.microsoft.com/office/drawing/2014/main" id="{00000000-0008-0000-00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10</xdr:col>
      <xdr:colOff>0</xdr:colOff>
      <xdr:row>236</xdr:row>
      <xdr:rowOff>0</xdr:rowOff>
    </xdr:from>
    <xdr:to>
      <xdr:col>19</xdr:col>
      <xdr:colOff>0</xdr:colOff>
      <xdr:row>252</xdr:row>
      <xdr:rowOff>0</xdr:rowOff>
    </xdr:to>
    <xdr:graphicFrame macro="">
      <xdr:nvGraphicFramePr>
        <xdr:cNvPr id="16" name="Chart 15">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19</xdr:col>
      <xdr:colOff>0</xdr:colOff>
      <xdr:row>236</xdr:row>
      <xdr:rowOff>0</xdr:rowOff>
    </xdr:from>
    <xdr:to>
      <xdr:col>28</xdr:col>
      <xdr:colOff>0</xdr:colOff>
      <xdr:row>252</xdr:row>
      <xdr:rowOff>0</xdr:rowOff>
    </xdr:to>
    <xdr:graphicFrame macro="">
      <xdr:nvGraphicFramePr>
        <xdr:cNvPr id="17" name="Chart 16">
          <a:extLst>
            <a:ext uri="{FF2B5EF4-FFF2-40B4-BE49-F238E27FC236}">
              <a16:creationId xmlns:a16="http://schemas.microsoft.com/office/drawing/2014/main" id="{00000000-0008-0000-00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xdr:col>
      <xdr:colOff>0</xdr:colOff>
      <xdr:row>255</xdr:row>
      <xdr:rowOff>0</xdr:rowOff>
    </xdr:from>
    <xdr:to>
      <xdr:col>10</xdr:col>
      <xdr:colOff>0</xdr:colOff>
      <xdr:row>271</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10</xdr:col>
      <xdr:colOff>0</xdr:colOff>
      <xdr:row>255</xdr:row>
      <xdr:rowOff>0</xdr:rowOff>
    </xdr:from>
    <xdr:to>
      <xdr:col>19</xdr:col>
      <xdr:colOff>0</xdr:colOff>
      <xdr:row>271</xdr:row>
      <xdr:rowOff>0</xdr:rowOff>
    </xdr:to>
    <xdr:graphicFrame macro="">
      <xdr:nvGraphicFramePr>
        <xdr:cNvPr id="19" name="Chart 18">
          <a:extLst>
            <a:ext uri="{FF2B5EF4-FFF2-40B4-BE49-F238E27FC236}">
              <a16:creationId xmlns:a16="http://schemas.microsoft.com/office/drawing/2014/main" id="{00000000-0008-0000-00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19</xdr:col>
      <xdr:colOff>0</xdr:colOff>
      <xdr:row>255</xdr:row>
      <xdr:rowOff>0</xdr:rowOff>
    </xdr:from>
    <xdr:to>
      <xdr:col>28</xdr:col>
      <xdr:colOff>0</xdr:colOff>
      <xdr:row>271</xdr:row>
      <xdr:rowOff>0</xdr:rowOff>
    </xdr:to>
    <xdr:graphicFrame macro="">
      <xdr:nvGraphicFramePr>
        <xdr:cNvPr id="20" name="Chart 19">
          <a:extLst>
            <a:ext uri="{FF2B5EF4-FFF2-40B4-BE49-F238E27FC236}">
              <a16:creationId xmlns:a16="http://schemas.microsoft.com/office/drawing/2014/main" id="{00000000-0008-0000-00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xdr:col>
      <xdr:colOff>0</xdr:colOff>
      <xdr:row>274</xdr:row>
      <xdr:rowOff>0</xdr:rowOff>
    </xdr:from>
    <xdr:to>
      <xdr:col>10</xdr:col>
      <xdr:colOff>0</xdr:colOff>
      <xdr:row>290</xdr:row>
      <xdr:rowOff>0</xdr:rowOff>
    </xdr:to>
    <xdr:graphicFrame macro="">
      <xdr:nvGraphicFramePr>
        <xdr:cNvPr id="21" name="Chart 20">
          <a:extLst>
            <a:ext uri="{FF2B5EF4-FFF2-40B4-BE49-F238E27FC236}">
              <a16:creationId xmlns:a16="http://schemas.microsoft.com/office/drawing/2014/main" id="{00000000-0008-0000-00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10</xdr:col>
      <xdr:colOff>0</xdr:colOff>
      <xdr:row>274</xdr:row>
      <xdr:rowOff>0</xdr:rowOff>
    </xdr:from>
    <xdr:to>
      <xdr:col>19</xdr:col>
      <xdr:colOff>0</xdr:colOff>
      <xdr:row>290</xdr:row>
      <xdr:rowOff>0</xdr:rowOff>
    </xdr:to>
    <xdr:graphicFrame macro="">
      <xdr:nvGraphicFramePr>
        <xdr:cNvPr id="22" name="Chart 21">
          <a:extLst>
            <a:ext uri="{FF2B5EF4-FFF2-40B4-BE49-F238E27FC236}">
              <a16:creationId xmlns:a16="http://schemas.microsoft.com/office/drawing/2014/main" id="{00000000-0008-0000-00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19</xdr:col>
      <xdr:colOff>0</xdr:colOff>
      <xdr:row>274</xdr:row>
      <xdr:rowOff>0</xdr:rowOff>
    </xdr:from>
    <xdr:to>
      <xdr:col>28</xdr:col>
      <xdr:colOff>0</xdr:colOff>
      <xdr:row>290</xdr:row>
      <xdr:rowOff>0</xdr:rowOff>
    </xdr:to>
    <xdr:graphicFrame macro="">
      <xdr:nvGraphicFramePr>
        <xdr:cNvPr id="23" name="Chart 22">
          <a:extLst>
            <a:ext uri="{FF2B5EF4-FFF2-40B4-BE49-F238E27FC236}">
              <a16:creationId xmlns:a16="http://schemas.microsoft.com/office/drawing/2014/main" id="{00000000-0008-0000-00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xdr:col>
      <xdr:colOff>0</xdr:colOff>
      <xdr:row>293</xdr:row>
      <xdr:rowOff>0</xdr:rowOff>
    </xdr:from>
    <xdr:to>
      <xdr:col>10</xdr:col>
      <xdr:colOff>0</xdr:colOff>
      <xdr:row>309</xdr:row>
      <xdr:rowOff>0</xdr:rowOff>
    </xdr:to>
    <xdr:graphicFrame macro="">
      <xdr:nvGraphicFramePr>
        <xdr:cNvPr id="24" name="Chart 23">
          <a:extLst>
            <a:ext uri="{FF2B5EF4-FFF2-40B4-BE49-F238E27FC236}">
              <a16:creationId xmlns:a16="http://schemas.microsoft.com/office/drawing/2014/main" id="{00000000-0008-0000-00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10</xdr:col>
      <xdr:colOff>0</xdr:colOff>
      <xdr:row>293</xdr:row>
      <xdr:rowOff>0</xdr:rowOff>
    </xdr:from>
    <xdr:to>
      <xdr:col>19</xdr:col>
      <xdr:colOff>0</xdr:colOff>
      <xdr:row>309</xdr:row>
      <xdr:rowOff>0</xdr:rowOff>
    </xdr:to>
    <xdr:graphicFrame macro="">
      <xdr:nvGraphicFramePr>
        <xdr:cNvPr id="25" name="Chart 24">
          <a:extLst>
            <a:ext uri="{FF2B5EF4-FFF2-40B4-BE49-F238E27FC236}">
              <a16:creationId xmlns:a16="http://schemas.microsoft.com/office/drawing/2014/main" id="{00000000-0008-0000-00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xdr:col>
      <xdr:colOff>0</xdr:colOff>
      <xdr:row>11</xdr:row>
      <xdr:rowOff>0</xdr:rowOff>
    </xdr:from>
    <xdr:to>
      <xdr:col>28</xdr:col>
      <xdr:colOff>0</xdr:colOff>
      <xdr:row>27</xdr:row>
      <xdr:rowOff>0</xdr:rowOff>
    </xdr:to>
    <xdr:graphicFrame macro="">
      <xdr:nvGraphicFramePr>
        <xdr:cNvPr id="40" name="Weekly Quality Index">
          <a:extLst>
            <a:ext uri="{FF2B5EF4-FFF2-40B4-BE49-F238E27FC236}">
              <a16:creationId xmlns:a16="http://schemas.microsoft.com/office/drawing/2014/main" id="{00000000-0008-0000-00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1</xdr:col>
      <xdr:colOff>0</xdr:colOff>
      <xdr:row>131</xdr:row>
      <xdr:rowOff>0</xdr:rowOff>
    </xdr:from>
    <xdr:to>
      <xdr:col>28</xdr:col>
      <xdr:colOff>0</xdr:colOff>
      <xdr:row>149</xdr:row>
      <xdr:rowOff>0</xdr:rowOff>
    </xdr:to>
    <xdr:graphicFrame macro="">
      <xdr:nvGraphicFramePr>
        <xdr:cNvPr id="41" name="Submittal Review Outcome">
          <a:extLst>
            <a:ext uri="{FF2B5EF4-FFF2-40B4-BE49-F238E27FC236}">
              <a16:creationId xmlns:a16="http://schemas.microsoft.com/office/drawing/2014/main" id="{00000000-0008-0000-00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22D11-B423-4C85-B915-05A8655FFE19}">
  <sheetPr>
    <tabColor rgb="FFD4A017"/>
    <pageSetUpPr fitToPage="1"/>
  </sheetPr>
  <dimension ref="A1:AB310"/>
  <sheetViews>
    <sheetView showGridLines="0" zoomScale="117" zoomScaleNormal="117" workbookViewId="0">
      <pane ySplit="6" topLeftCell="A37" activePane="bottomLeft" state="frozen"/>
      <selection pane="bottomLeft" activeCell="AC43" sqref="AC43"/>
    </sheetView>
  </sheetViews>
  <sheetFormatPr defaultColWidth="8.5" defaultRowHeight="13.8"/>
  <cols>
    <col min="1" max="1" width="2" style="14" customWidth="1"/>
    <col min="2" max="9" width="4.59765625" style="14" customWidth="1"/>
    <col min="10" max="10" width="7.69921875" style="14" customWidth="1"/>
    <col min="11" max="18" width="4.59765625" style="14" customWidth="1"/>
    <col min="19" max="19" width="9.69921875" style="14" customWidth="1"/>
    <col min="20" max="21" width="4.59765625" style="14" customWidth="1"/>
    <col min="22" max="22" width="11.8984375" style="14" customWidth="1"/>
    <col min="23" max="28" width="4.59765625" style="14" customWidth="1"/>
  </cols>
  <sheetData>
    <row r="1" spans="1:28" ht="15" customHeight="1">
      <c r="A1" s="1"/>
      <c r="B1" s="1"/>
      <c r="C1" s="1"/>
      <c r="D1" s="1"/>
      <c r="E1" s="1"/>
      <c r="F1" s="1"/>
      <c r="G1" s="1"/>
      <c r="H1" s="1"/>
      <c r="I1" s="1"/>
      <c r="J1" s="1"/>
      <c r="K1" s="1"/>
      <c r="L1" s="1"/>
      <c r="M1" s="1"/>
      <c r="N1" s="1"/>
      <c r="O1" s="1"/>
      <c r="P1" s="1"/>
      <c r="Q1" s="1"/>
      <c r="R1" s="1"/>
      <c r="S1" s="1"/>
      <c r="T1" s="1"/>
      <c r="U1" s="1"/>
      <c r="V1" s="1"/>
      <c r="W1" s="1"/>
      <c r="X1" s="1"/>
      <c r="Y1" s="1"/>
      <c r="Z1" s="1"/>
      <c r="AA1" s="1"/>
      <c r="AB1" s="1"/>
    </row>
    <row r="2" spans="1:28" ht="7.5" customHeight="1">
      <c r="A2" s="1"/>
      <c r="B2" s="2"/>
      <c r="C2" s="2"/>
      <c r="D2" s="2"/>
      <c r="E2" s="2"/>
      <c r="F2" s="2"/>
      <c r="G2" s="2"/>
      <c r="H2" s="2"/>
      <c r="I2" s="2"/>
      <c r="J2" s="2"/>
      <c r="K2" s="2"/>
      <c r="L2" s="2"/>
      <c r="M2" s="2"/>
      <c r="N2" s="2"/>
      <c r="O2" s="2"/>
      <c r="P2" s="2"/>
      <c r="Q2" s="2"/>
      <c r="R2" s="2"/>
      <c r="S2" s="2"/>
      <c r="T2" s="2"/>
      <c r="U2" s="2"/>
      <c r="V2" s="2"/>
      <c r="W2" s="2"/>
      <c r="X2" s="2"/>
      <c r="Y2" s="2"/>
      <c r="Z2" s="2"/>
      <c r="AA2" s="2"/>
      <c r="AB2" s="2"/>
    </row>
    <row r="3" spans="1:28" ht="27.75" customHeight="1">
      <c r="A3" s="1"/>
      <c r="B3" s="78" t="s">
        <v>517</v>
      </c>
      <c r="C3" s="39"/>
      <c r="D3" s="39"/>
      <c r="E3" s="39"/>
      <c r="F3" s="39"/>
      <c r="G3" s="39"/>
      <c r="H3" s="39"/>
      <c r="I3" s="39"/>
      <c r="J3" s="39"/>
      <c r="K3" s="39"/>
      <c r="L3" s="39"/>
      <c r="M3" s="39"/>
      <c r="N3" s="39"/>
      <c r="O3" s="39"/>
      <c r="P3" s="39"/>
      <c r="Q3" s="39"/>
      <c r="R3" s="39"/>
      <c r="S3" s="39"/>
      <c r="T3" s="39"/>
      <c r="U3" s="39"/>
      <c r="V3" s="39"/>
      <c r="W3" s="39"/>
      <c r="X3" s="70" t="s">
        <v>0</v>
      </c>
      <c r="Y3" s="39"/>
      <c r="Z3" s="39"/>
      <c r="AA3" s="39"/>
      <c r="AB3" s="39"/>
    </row>
    <row r="4" spans="1:28" ht="15.75" customHeight="1">
      <c r="A4" s="1"/>
      <c r="B4" s="80" t="s">
        <v>1</v>
      </c>
      <c r="C4" s="39"/>
      <c r="D4" s="39"/>
      <c r="E4" s="39"/>
      <c r="F4" s="39"/>
      <c r="G4" s="39"/>
      <c r="H4" s="39"/>
      <c r="I4" s="39"/>
      <c r="J4" s="39"/>
      <c r="K4" s="39"/>
      <c r="L4" s="39"/>
      <c r="M4" s="39"/>
      <c r="N4" s="39"/>
      <c r="O4" s="39"/>
      <c r="P4" s="39"/>
      <c r="Q4" s="39"/>
      <c r="R4" s="39"/>
      <c r="S4" s="39"/>
      <c r="T4" s="39"/>
      <c r="U4" s="39"/>
      <c r="V4" s="39"/>
      <c r="W4" s="2"/>
      <c r="X4" s="81" t="s">
        <v>2</v>
      </c>
      <c r="Y4" s="39"/>
      <c r="Z4" s="39"/>
      <c r="AA4" s="39"/>
      <c r="AB4" s="39"/>
    </row>
    <row r="5" spans="1:28" ht="12.75" customHeight="1">
      <c r="A5" s="1"/>
      <c r="B5" s="65"/>
      <c r="C5" s="39"/>
      <c r="D5" s="39"/>
      <c r="E5" s="39"/>
      <c r="F5" s="39"/>
      <c r="G5" s="39"/>
      <c r="H5" s="39"/>
      <c r="I5" s="39"/>
      <c r="J5" s="39"/>
      <c r="K5" s="39"/>
      <c r="L5" s="39"/>
      <c r="M5" s="39"/>
      <c r="N5" s="39"/>
      <c r="O5" s="39"/>
      <c r="P5" s="39"/>
      <c r="Q5" s="39"/>
      <c r="R5" s="39"/>
      <c r="S5" s="39"/>
      <c r="T5" s="39"/>
      <c r="U5" s="39"/>
      <c r="V5" s="39"/>
      <c r="W5" s="2"/>
      <c r="X5" s="71" t="str">
        <f ca="1">"Refreshed: "&amp;TEXT(TODAY(),"dd mmm yyyy")</f>
        <v>Refreshed: 19 Oct 2026</v>
      </c>
      <c r="Y5" s="39"/>
      <c r="Z5" s="39"/>
      <c r="AA5" s="39"/>
      <c r="AB5" s="39"/>
    </row>
    <row r="6" spans="1:28" ht="7.5" customHeight="1">
      <c r="A6" s="1"/>
      <c r="B6" s="2"/>
      <c r="C6" s="2"/>
      <c r="D6" s="2"/>
      <c r="E6" s="2"/>
      <c r="F6" s="2"/>
      <c r="G6" s="2"/>
      <c r="H6" s="2"/>
      <c r="I6" s="2"/>
      <c r="J6" s="2"/>
      <c r="K6" s="2"/>
      <c r="L6" s="2"/>
      <c r="M6" s="2"/>
      <c r="N6" s="2"/>
      <c r="O6" s="2"/>
      <c r="P6" s="2"/>
      <c r="Q6" s="2"/>
      <c r="R6" s="2"/>
      <c r="S6" s="2"/>
      <c r="T6" s="2"/>
      <c r="U6" s="2"/>
      <c r="V6" s="2"/>
      <c r="W6" s="2"/>
      <c r="X6" s="2"/>
      <c r="Y6" s="2"/>
      <c r="Z6" s="2"/>
      <c r="AA6" s="2"/>
      <c r="AB6" s="2"/>
    </row>
    <row r="7" spans="1:28" ht="15" customHeight="1">
      <c r="A7" s="1"/>
      <c r="B7" s="1"/>
      <c r="C7" s="1"/>
      <c r="D7" s="1"/>
      <c r="E7" s="1"/>
      <c r="F7" s="1"/>
      <c r="G7" s="1"/>
      <c r="H7" s="1"/>
      <c r="I7" s="1"/>
      <c r="J7" s="1"/>
      <c r="K7" s="1"/>
      <c r="L7" s="1"/>
      <c r="M7" s="1"/>
      <c r="N7" s="1"/>
      <c r="O7" s="1"/>
      <c r="P7" s="1"/>
      <c r="Q7" s="1"/>
      <c r="R7" s="1"/>
      <c r="S7" s="1"/>
      <c r="T7" s="1"/>
      <c r="U7" s="1"/>
      <c r="V7" s="1"/>
      <c r="W7" s="1"/>
      <c r="X7" s="1"/>
      <c r="Y7" s="1"/>
      <c r="Z7" s="1"/>
      <c r="AA7" s="1"/>
      <c r="AB7" s="1"/>
    </row>
    <row r="8" spans="1:28" ht="19.5" customHeight="1">
      <c r="A8" s="1"/>
      <c r="B8" s="69" t="s">
        <v>519</v>
      </c>
      <c r="C8" s="39"/>
      <c r="D8" s="39"/>
      <c r="E8" s="39"/>
      <c r="F8" s="39"/>
      <c r="G8" s="39"/>
      <c r="H8" s="39"/>
      <c r="I8" s="39"/>
      <c r="J8" s="39"/>
      <c r="K8" s="39"/>
      <c r="L8" s="39"/>
      <c r="M8" s="39"/>
      <c r="N8" s="39"/>
      <c r="O8" s="39"/>
      <c r="P8" s="39"/>
      <c r="Q8" s="39"/>
      <c r="R8" s="2"/>
      <c r="S8" s="2"/>
      <c r="T8" s="2"/>
      <c r="U8" s="2"/>
      <c r="V8" s="2"/>
      <c r="W8" s="2"/>
      <c r="X8" s="2"/>
      <c r="Y8" s="2"/>
      <c r="Z8" s="2"/>
      <c r="AA8" s="2"/>
      <c r="AB8" s="2"/>
    </row>
    <row r="9" spans="1:28" ht="6" customHeight="1">
      <c r="A9" s="1"/>
      <c r="B9" s="1"/>
      <c r="C9" s="1"/>
      <c r="D9" s="1"/>
      <c r="E9" s="1"/>
      <c r="F9" s="1"/>
      <c r="G9" s="1"/>
      <c r="H9" s="1"/>
      <c r="I9" s="1"/>
      <c r="J9" s="1"/>
      <c r="K9" s="1"/>
      <c r="L9" s="1"/>
      <c r="M9" s="1"/>
      <c r="N9" s="1"/>
      <c r="O9" s="1"/>
      <c r="P9" s="1"/>
      <c r="Q9" s="1"/>
      <c r="R9" s="1"/>
      <c r="S9" s="1"/>
      <c r="T9" s="1"/>
      <c r="U9" s="1"/>
      <c r="V9" s="1"/>
      <c r="W9" s="1"/>
      <c r="X9" s="1"/>
      <c r="Y9" s="1"/>
      <c r="Z9" s="1"/>
      <c r="AA9" s="1"/>
      <c r="AB9" s="1"/>
    </row>
    <row r="10" spans="1:28" ht="15.75" customHeight="1">
      <c r="A10" s="1"/>
      <c r="B10" s="38" t="s">
        <v>520</v>
      </c>
      <c r="C10" s="39"/>
      <c r="D10" s="39"/>
      <c r="E10" s="39"/>
      <c r="F10" s="39"/>
      <c r="G10" s="39"/>
      <c r="H10" s="39"/>
      <c r="I10" s="39"/>
      <c r="J10" s="39"/>
      <c r="K10" s="39"/>
      <c r="L10" s="39"/>
      <c r="M10" s="39"/>
      <c r="N10" s="39"/>
      <c r="O10" s="39"/>
      <c r="P10" s="39"/>
      <c r="Q10" s="39"/>
      <c r="R10" s="89" t="str">
        <f>"Average "&amp;TEXT('KPI Engine (Final)'!C307,"0.0%")&amp;"  ·  Min "&amp;TEXT('KPI Engine (Final)'!C308,"0.0%")&amp;"  ·  Max "&amp;TEXT('KPI Engine (Final)'!C309,"0.0%")&amp;"  ·  Latest "&amp;TEXT('KPI Engine (Final)'!C310,"0.0%")</f>
        <v>Average 94.9%  ·  Min 93.5%  ·  Max 96.0%  ·  Latest 95.8%</v>
      </c>
      <c r="S10" s="39"/>
      <c r="T10" s="39"/>
      <c r="U10" s="39"/>
      <c r="V10" s="39"/>
      <c r="W10" s="39"/>
      <c r="X10" s="39"/>
      <c r="Y10" s="39"/>
      <c r="Z10" s="39"/>
      <c r="AA10" s="39"/>
      <c r="AB10" s="39"/>
    </row>
    <row r="11" spans="1:28" ht="15" customHeight="1">
      <c r="A11" s="1"/>
      <c r="B11" s="47" t="s">
        <v>521</v>
      </c>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row>
    <row r="12" spans="1:28" ht="15" customHeight="1">
      <c r="A12" s="1"/>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spans="1:28" ht="15" customHeight="1">
      <c r="A13" s="1"/>
      <c r="B13" s="3"/>
      <c r="C13" s="3"/>
      <c r="D13" s="3"/>
      <c r="E13" s="3"/>
      <c r="F13" s="3"/>
      <c r="G13" s="3"/>
      <c r="H13" s="3"/>
      <c r="I13" s="3"/>
      <c r="J13" s="3"/>
      <c r="K13" s="3"/>
      <c r="L13" s="3"/>
      <c r="M13" s="3"/>
      <c r="N13" s="3"/>
      <c r="O13" s="3"/>
      <c r="P13" s="3"/>
      <c r="Q13" s="3"/>
      <c r="R13" s="3"/>
      <c r="S13" s="3"/>
      <c r="T13" s="3"/>
      <c r="U13" s="3"/>
      <c r="V13" s="3"/>
      <c r="W13" s="3"/>
      <c r="X13" s="3"/>
      <c r="Y13" s="3"/>
      <c r="Z13" s="3"/>
      <c r="AA13" s="3"/>
      <c r="AB13" s="3"/>
    </row>
    <row r="14" spans="1:28" ht="15" customHeight="1">
      <c r="A14" s="1"/>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5" customHeight="1">
      <c r="A15" s="1"/>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15" customHeight="1">
      <c r="A16" s="1"/>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spans="1:28" ht="15" customHeight="1">
      <c r="A17" s="1"/>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spans="1:28" ht="15" customHeight="1">
      <c r="A18" s="1"/>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spans="1:28" ht="15" customHeight="1">
      <c r="A19" s="1"/>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spans="1:28" ht="15" customHeight="1">
      <c r="A20" s="1"/>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spans="1:28" ht="15" customHeight="1">
      <c r="A21" s="1"/>
      <c r="B21" s="3"/>
      <c r="C21" s="3"/>
      <c r="D21" s="3"/>
      <c r="E21" s="3"/>
      <c r="F21" s="3"/>
      <c r="G21" s="3"/>
      <c r="H21" s="3"/>
      <c r="I21" s="3"/>
      <c r="J21" s="3"/>
      <c r="K21" s="3"/>
      <c r="L21" s="3"/>
      <c r="M21" s="3"/>
      <c r="N21" s="3"/>
      <c r="O21" s="3"/>
      <c r="P21" s="3"/>
      <c r="Q21" s="3"/>
      <c r="R21" s="3"/>
      <c r="S21" s="3"/>
      <c r="T21" s="3"/>
      <c r="U21" s="3"/>
      <c r="V21" s="3"/>
      <c r="W21" s="3"/>
      <c r="X21" s="3"/>
      <c r="Y21" s="3"/>
      <c r="Z21" s="3"/>
      <c r="AA21" s="3"/>
      <c r="AB21" s="3"/>
    </row>
    <row r="22" spans="1:28" ht="15" customHeight="1">
      <c r="A22" s="1"/>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spans="1:28" ht="15" customHeight="1">
      <c r="A23" s="1"/>
      <c r="B23" s="3"/>
      <c r="C23" s="3"/>
      <c r="D23" s="3"/>
      <c r="E23" s="3"/>
      <c r="F23" s="3"/>
      <c r="G23" s="3"/>
      <c r="H23" s="3"/>
      <c r="I23" s="3"/>
      <c r="J23" s="3"/>
      <c r="K23" s="3"/>
      <c r="L23" s="3"/>
      <c r="M23" s="3"/>
      <c r="N23" s="3"/>
      <c r="O23" s="3"/>
      <c r="P23" s="3"/>
      <c r="Q23" s="3"/>
      <c r="R23" s="3"/>
      <c r="S23" s="3"/>
      <c r="T23" s="3"/>
      <c r="U23" s="3"/>
      <c r="V23" s="3"/>
      <c r="W23" s="3"/>
      <c r="X23" s="3"/>
      <c r="Y23" s="3"/>
      <c r="Z23" s="3"/>
      <c r="AA23" s="3"/>
      <c r="AB23" s="3"/>
    </row>
    <row r="24" spans="1:28" ht="15" customHeight="1">
      <c r="A24" s="1"/>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spans="1:28" ht="15" customHeight="1">
      <c r="A25" s="1"/>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spans="1:28" ht="15" customHeight="1">
      <c r="A26" s="1"/>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spans="1:28" ht="15" customHeight="1">
      <c r="A27" s="1"/>
      <c r="B27" s="3"/>
      <c r="C27" s="3"/>
      <c r="D27" s="3"/>
      <c r="E27" s="3"/>
      <c r="F27" s="3"/>
      <c r="G27" s="3"/>
      <c r="H27" s="3"/>
      <c r="I27" s="3"/>
      <c r="J27" s="3"/>
      <c r="K27" s="3"/>
      <c r="L27" s="3"/>
      <c r="M27" s="3"/>
      <c r="N27" s="3"/>
      <c r="O27" s="3"/>
      <c r="P27" s="3"/>
      <c r="Q27" s="3"/>
      <c r="R27" s="3"/>
      <c r="S27" s="3"/>
      <c r="T27" s="3"/>
      <c r="U27" s="3"/>
      <c r="V27" s="3"/>
      <c r="W27" s="3"/>
      <c r="X27" s="3"/>
      <c r="Y27" s="3"/>
      <c r="Z27" s="3"/>
      <c r="AA27" s="3"/>
      <c r="AB27" s="3"/>
    </row>
    <row r="28" spans="1:28" ht="6"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1:28" ht="19.5" customHeight="1">
      <c r="A29" s="1"/>
      <c r="B29" s="69" t="s">
        <v>4</v>
      </c>
      <c r="C29" s="39"/>
      <c r="D29" s="39"/>
      <c r="E29" s="39"/>
      <c r="F29" s="39"/>
      <c r="G29" s="39"/>
      <c r="H29" s="39"/>
      <c r="I29" s="39"/>
      <c r="J29" s="39"/>
      <c r="K29" s="39"/>
      <c r="L29" s="39"/>
      <c r="M29" s="39"/>
      <c r="N29" s="39"/>
      <c r="O29" s="39"/>
      <c r="P29" s="39"/>
      <c r="Q29" s="39"/>
      <c r="R29" s="56" t="str">
        <f>"WIR target "&amp;'KPI Engine (Final)'!B5&amp;" days  ·  MIR target "&amp;'KPI Engine (Final)'!B6&amp;" days  ·  "&amp;IF('KPI Engine (Final)'!B7='KPI Engine (Final)'!B8,"SHD/RFI target "&amp;'KPI Engine (Final)'!B7&amp;" days","SHD target "&amp;'KPI Engine (Final)'!B7&amp;" days  ·  RFI target "&amp;'KPI Engine (Final)'!B8&amp;" days")&amp;"  ·  SOR target "&amp;'KPI Engine (Final)'!B9&amp;" days  ·  NCR target "&amp;'KPI Engine (Final)'!B14&amp;" days"</f>
        <v>WIR target 2 days  ·  MIR target 3 days  ·  SHD/RFI target 14 days  ·  SOR target 7 days  ·  NCR target 30 days</v>
      </c>
      <c r="S29" s="39"/>
      <c r="T29" s="39"/>
      <c r="U29" s="39"/>
      <c r="V29" s="39"/>
      <c r="W29" s="39"/>
      <c r="X29" s="39"/>
      <c r="Y29" s="39"/>
      <c r="Z29" s="39"/>
      <c r="AA29" s="39"/>
      <c r="AB29" s="39"/>
    </row>
    <row r="30" spans="1:28" ht="4.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1:28" ht="25.5" customHeight="1">
      <c r="A31" s="1"/>
      <c r="B31" s="61" t="s">
        <v>5</v>
      </c>
      <c r="C31" s="41"/>
      <c r="D31" s="41"/>
      <c r="E31" s="41"/>
      <c r="F31" s="41"/>
      <c r="G31" s="41"/>
      <c r="H31" s="40" t="s">
        <v>6</v>
      </c>
      <c r="I31" s="41"/>
      <c r="J31" s="40" t="s">
        <v>7</v>
      </c>
      <c r="K31" s="41"/>
      <c r="L31" s="41"/>
      <c r="M31" s="40" t="s">
        <v>3</v>
      </c>
      <c r="N31" s="41"/>
      <c r="O31" s="41"/>
      <c r="P31" s="40" t="s">
        <v>8</v>
      </c>
      <c r="Q31" s="41"/>
      <c r="R31" s="40" t="s">
        <v>9</v>
      </c>
      <c r="S31" s="41"/>
      <c r="T31" s="40" t="s">
        <v>10</v>
      </c>
      <c r="U31" s="41"/>
      <c r="V31" s="41"/>
      <c r="W31" s="40" t="s">
        <v>11</v>
      </c>
      <c r="X31" s="41"/>
      <c r="Y31" s="41"/>
      <c r="Z31" s="40" t="s">
        <v>12</v>
      </c>
      <c r="AA31" s="41"/>
      <c r="AB31" s="16" t="s">
        <v>13</v>
      </c>
    </row>
    <row r="32" spans="1:28" ht="18.75" customHeight="1">
      <c r="A32" s="1"/>
      <c r="B32" s="36" t="s">
        <v>14</v>
      </c>
      <c r="C32" s="35"/>
      <c r="D32" s="35"/>
      <c r="E32" s="35"/>
      <c r="F32" s="35"/>
      <c r="G32" s="35"/>
      <c r="H32" s="59">
        <f>'KPI Engine (Final)'!B5</f>
        <v>2</v>
      </c>
      <c r="I32" s="35"/>
      <c r="J32" s="67">
        <f>'KPI Engine (Final)'!C5</f>
        <v>710</v>
      </c>
      <c r="K32" s="35"/>
      <c r="L32" s="35"/>
      <c r="M32" s="45">
        <f>'KPI Engine (Final)'!D5</f>
        <v>620</v>
      </c>
      <c r="N32" s="35"/>
      <c r="O32" s="35"/>
      <c r="P32" s="45">
        <f>'KPI Engine (Final)'!E5</f>
        <v>69</v>
      </c>
      <c r="Q32" s="35"/>
      <c r="R32" s="45">
        <f>'KPI Engine (Final)'!F5</f>
        <v>21</v>
      </c>
      <c r="S32" s="35"/>
      <c r="T32" s="49">
        <f>'KPI Engine (Final)'!H5</f>
        <v>617</v>
      </c>
      <c r="U32" s="35"/>
      <c r="V32" s="35"/>
      <c r="W32" s="53">
        <f>'KPI Engine (Final)'!I5</f>
        <v>3</v>
      </c>
      <c r="X32" s="35"/>
      <c r="Y32" s="35"/>
      <c r="Z32" s="46">
        <f>'KPI Engine (Final)'!J5</f>
        <v>0</v>
      </c>
      <c r="AA32" s="35"/>
      <c r="AB32" s="19">
        <f>'KPI Engine (Final)'!K5</f>
        <v>0.99516129032258061</v>
      </c>
    </row>
    <row r="33" spans="1:28" ht="18.75" customHeight="1">
      <c r="A33" s="1"/>
      <c r="B33" s="60" t="s">
        <v>15</v>
      </c>
      <c r="C33" s="35"/>
      <c r="D33" s="35"/>
      <c r="E33" s="35"/>
      <c r="F33" s="35"/>
      <c r="G33" s="35"/>
      <c r="H33" s="66">
        <f>'KPI Engine (Final)'!B6</f>
        <v>3</v>
      </c>
      <c r="I33" s="35"/>
      <c r="J33" s="74">
        <f>'KPI Engine (Final)'!C6</f>
        <v>205</v>
      </c>
      <c r="K33" s="35"/>
      <c r="L33" s="35"/>
      <c r="M33" s="51">
        <f>'KPI Engine (Final)'!D6</f>
        <v>183</v>
      </c>
      <c r="N33" s="35"/>
      <c r="O33" s="35"/>
      <c r="P33" s="51">
        <f>'KPI Engine (Final)'!E6</f>
        <v>10</v>
      </c>
      <c r="Q33" s="35"/>
      <c r="R33" s="51">
        <f>'KPI Engine (Final)'!F6</f>
        <v>12</v>
      </c>
      <c r="S33" s="35"/>
      <c r="T33" s="63">
        <f>'KPI Engine (Final)'!H6</f>
        <v>182</v>
      </c>
      <c r="U33" s="35"/>
      <c r="V33" s="35"/>
      <c r="W33" s="34">
        <f>'KPI Engine (Final)'!I6</f>
        <v>1</v>
      </c>
      <c r="X33" s="35"/>
      <c r="Y33" s="35"/>
      <c r="Z33" s="55">
        <f>'KPI Engine (Final)'!J6</f>
        <v>0</v>
      </c>
      <c r="AA33" s="35"/>
      <c r="AB33" s="22">
        <f>'KPI Engine (Final)'!K6</f>
        <v>0.99453551912568305</v>
      </c>
    </row>
    <row r="34" spans="1:28" ht="18.75" customHeight="1">
      <c r="A34" s="1"/>
      <c r="B34" s="36" t="s">
        <v>16</v>
      </c>
      <c r="C34" s="35"/>
      <c r="D34" s="35"/>
      <c r="E34" s="35"/>
      <c r="F34" s="35"/>
      <c r="G34" s="35"/>
      <c r="H34" s="59">
        <f>'KPI Engine (Final)'!B7</f>
        <v>14</v>
      </c>
      <c r="I34" s="35"/>
      <c r="J34" s="67">
        <f>'KPI Engine (Final)'!C7</f>
        <v>524</v>
      </c>
      <c r="K34" s="35"/>
      <c r="L34" s="35"/>
      <c r="M34" s="45">
        <f>'KPI Engine (Final)'!D7</f>
        <v>432</v>
      </c>
      <c r="N34" s="35"/>
      <c r="O34" s="35"/>
      <c r="P34" s="45">
        <f>'KPI Engine (Final)'!E7</f>
        <v>52</v>
      </c>
      <c r="Q34" s="35"/>
      <c r="R34" s="45">
        <f>'KPI Engine (Final)'!F7</f>
        <v>40</v>
      </c>
      <c r="S34" s="35"/>
      <c r="T34" s="49">
        <f>'KPI Engine (Final)'!H7</f>
        <v>431</v>
      </c>
      <c r="U34" s="35"/>
      <c r="V34" s="35"/>
      <c r="W34" s="53">
        <f>'KPI Engine (Final)'!I7</f>
        <v>1</v>
      </c>
      <c r="X34" s="35"/>
      <c r="Y34" s="35"/>
      <c r="Z34" s="46">
        <f>'KPI Engine (Final)'!J7</f>
        <v>0</v>
      </c>
      <c r="AA34" s="35"/>
      <c r="AB34" s="19">
        <f>'KPI Engine (Final)'!K7</f>
        <v>0.99768518518518523</v>
      </c>
    </row>
    <row r="35" spans="1:28" ht="18.75" customHeight="1">
      <c r="A35" s="1"/>
      <c r="B35" s="60" t="s">
        <v>17</v>
      </c>
      <c r="C35" s="35"/>
      <c r="D35" s="35"/>
      <c r="E35" s="35"/>
      <c r="F35" s="35"/>
      <c r="G35" s="35"/>
      <c r="H35" s="66">
        <f>'KPI Engine (Final)'!B8</f>
        <v>14</v>
      </c>
      <c r="I35" s="35"/>
      <c r="J35" s="74">
        <f>'KPI Engine (Final)'!C8</f>
        <v>137</v>
      </c>
      <c r="K35" s="35"/>
      <c r="L35" s="35"/>
      <c r="M35" s="51">
        <f>'KPI Engine (Final)'!D8</f>
        <v>109</v>
      </c>
      <c r="N35" s="35"/>
      <c r="O35" s="35"/>
      <c r="P35" s="51">
        <f>'KPI Engine (Final)'!E8</f>
        <v>9</v>
      </c>
      <c r="Q35" s="35"/>
      <c r="R35" s="51">
        <f>'KPI Engine (Final)'!F8</f>
        <v>19</v>
      </c>
      <c r="S35" s="35"/>
      <c r="T35" s="63">
        <f>'KPI Engine (Final)'!H8</f>
        <v>106</v>
      </c>
      <c r="U35" s="35"/>
      <c r="V35" s="35"/>
      <c r="W35" s="34">
        <f>'KPI Engine (Final)'!I8</f>
        <v>1</v>
      </c>
      <c r="X35" s="35"/>
      <c r="Y35" s="35"/>
      <c r="Z35" s="55">
        <f>'KPI Engine (Final)'!J8</f>
        <v>2</v>
      </c>
      <c r="AA35" s="35"/>
      <c r="AB35" s="22">
        <f>'KPI Engine (Final)'!K8</f>
        <v>0.99065420560747663</v>
      </c>
    </row>
    <row r="36" spans="1:28" ht="18.75" customHeight="1">
      <c r="A36" s="1"/>
      <c r="B36" s="36" t="s">
        <v>18</v>
      </c>
      <c r="C36" s="35"/>
      <c r="D36" s="35"/>
      <c r="E36" s="35"/>
      <c r="F36" s="35"/>
      <c r="G36" s="35"/>
      <c r="H36" s="59">
        <f>'KPI Engine (Final)'!B9</f>
        <v>7</v>
      </c>
      <c r="I36" s="35"/>
      <c r="J36" s="67">
        <f>'KPI Engine (Final)'!C19</f>
        <v>237</v>
      </c>
      <c r="K36" s="35"/>
      <c r="L36" s="35"/>
      <c r="M36" s="45">
        <f>'KPI Engine (Final)'!D19</f>
        <v>138</v>
      </c>
      <c r="N36" s="35"/>
      <c r="O36" s="35"/>
      <c r="P36" s="45">
        <f>'KPI Engine (Final)'!E19</f>
        <v>93</v>
      </c>
      <c r="Q36" s="35"/>
      <c r="R36" s="45">
        <f>'KPI Engine (Final)'!F19</f>
        <v>6</v>
      </c>
      <c r="S36" s="35"/>
      <c r="T36" s="49">
        <f>'KPI Engine (Final)'!H19</f>
        <v>7</v>
      </c>
      <c r="U36" s="35"/>
      <c r="V36" s="35"/>
      <c r="W36" s="53">
        <f>'KPI Engine (Final)'!I19</f>
        <v>12</v>
      </c>
      <c r="X36" s="35"/>
      <c r="Y36" s="35"/>
      <c r="Z36" s="46">
        <f>'KPI Engine (Final)'!J19</f>
        <v>119</v>
      </c>
      <c r="AA36" s="35"/>
      <c r="AB36" s="19">
        <f>'KPI Engine (Final)'!K19</f>
        <v>0.36842105263157893</v>
      </c>
    </row>
    <row r="37" spans="1:28" ht="18.75" customHeight="1">
      <c r="A37" s="1"/>
      <c r="B37" s="60" t="s">
        <v>19</v>
      </c>
      <c r="C37" s="35"/>
      <c r="D37" s="35"/>
      <c r="E37" s="35"/>
      <c r="F37" s="35"/>
      <c r="G37" s="35"/>
      <c r="H37" s="66">
        <f>'KPI Engine (Final)'!B14</f>
        <v>30</v>
      </c>
      <c r="I37" s="35"/>
      <c r="J37" s="74">
        <f>'KPI Engine (Final)'!C20</f>
        <v>34</v>
      </c>
      <c r="K37" s="35"/>
      <c r="L37" s="35"/>
      <c r="M37" s="51">
        <f>'KPI Engine (Final)'!D20</f>
        <v>7</v>
      </c>
      <c r="N37" s="35"/>
      <c r="O37" s="35"/>
      <c r="P37" s="51">
        <f>'KPI Engine (Final)'!E20</f>
        <v>27</v>
      </c>
      <c r="Q37" s="35"/>
      <c r="R37" s="51">
        <f>'KPI Engine (Final)'!F20</f>
        <v>0</v>
      </c>
      <c r="S37" s="35"/>
      <c r="T37" s="63">
        <f>'KPI Engine (Final)'!H20</f>
        <v>0</v>
      </c>
      <c r="U37" s="35"/>
      <c r="V37" s="35"/>
      <c r="W37" s="34">
        <f>'KPI Engine (Final)'!I20</f>
        <v>7</v>
      </c>
      <c r="X37" s="35"/>
      <c r="Y37" s="35"/>
      <c r="Z37" s="55">
        <f>'KPI Engine (Final)'!J20</f>
        <v>0</v>
      </c>
      <c r="AA37" s="35"/>
      <c r="AB37" s="22">
        <f>'KPI Engine (Final)'!K20</f>
        <v>0</v>
      </c>
    </row>
    <row r="38" spans="1:28" ht="21" customHeight="1">
      <c r="A38" s="1"/>
      <c r="B38" s="75" t="s">
        <v>20</v>
      </c>
      <c r="C38" s="39"/>
      <c r="D38" s="39"/>
      <c r="E38" s="39"/>
      <c r="F38" s="39"/>
      <c r="G38" s="39"/>
      <c r="H38" s="57"/>
      <c r="I38" s="39"/>
      <c r="J38" s="57">
        <f>'KPI Engine (Final)'!C22</f>
        <v>1847</v>
      </c>
      <c r="K38" s="39"/>
      <c r="L38" s="39"/>
      <c r="M38" s="57">
        <f>'KPI Engine (Final)'!D22</f>
        <v>1489</v>
      </c>
      <c r="N38" s="39"/>
      <c r="O38" s="39"/>
      <c r="P38" s="57">
        <f>'KPI Engine (Final)'!E22</f>
        <v>260</v>
      </c>
      <c r="Q38" s="39"/>
      <c r="R38" s="57">
        <f>'KPI Engine (Final)'!F22</f>
        <v>98</v>
      </c>
      <c r="S38" s="39"/>
      <c r="T38" s="57">
        <f>'KPI Engine (Final)'!H22</f>
        <v>1343</v>
      </c>
      <c r="U38" s="39"/>
      <c r="V38" s="39"/>
      <c r="W38" s="57">
        <f>'KPI Engine (Final)'!I22</f>
        <v>25</v>
      </c>
      <c r="X38" s="39"/>
      <c r="Y38" s="39"/>
      <c r="Z38" s="57">
        <f>'KPI Engine (Final)'!J22</f>
        <v>121</v>
      </c>
      <c r="AA38" s="39"/>
      <c r="AB38" s="18">
        <f>'KPI Engine (Final)'!K22</f>
        <v>0.98172514619883045</v>
      </c>
    </row>
    <row r="39" spans="1:28" ht="15.75" customHeight="1">
      <c r="A39" s="1"/>
      <c r="B39" s="72" t="s">
        <v>21</v>
      </c>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row>
    <row r="40" spans="1:28" ht="1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9.5" customHeight="1">
      <c r="A41" s="1"/>
      <c r="B41" s="69" t="s">
        <v>522</v>
      </c>
      <c r="C41" s="39"/>
      <c r="D41" s="39"/>
      <c r="E41" s="39"/>
      <c r="F41" s="39"/>
      <c r="G41" s="39"/>
      <c r="H41" s="39"/>
      <c r="I41" s="39"/>
      <c r="J41" s="39"/>
      <c r="K41" s="39"/>
      <c r="L41" s="39"/>
      <c r="M41" s="39"/>
      <c r="N41" s="39"/>
      <c r="O41" s="39"/>
      <c r="P41" s="39"/>
      <c r="Q41" s="39"/>
      <c r="R41" s="56" t="s">
        <v>523</v>
      </c>
      <c r="S41" s="39"/>
      <c r="T41" s="39"/>
      <c r="U41" s="39"/>
      <c r="V41" s="39"/>
      <c r="W41" s="39"/>
      <c r="X41" s="39"/>
      <c r="Y41" s="39"/>
      <c r="Z41" s="39"/>
      <c r="AA41" s="39"/>
      <c r="AB41" s="39"/>
    </row>
    <row r="42" spans="1:28" ht="15.75" customHeight="1">
      <c r="A42" s="1"/>
      <c r="B42" s="38" t="s">
        <v>524</v>
      </c>
      <c r="C42" s="39"/>
      <c r="D42" s="39"/>
      <c r="E42" s="39"/>
      <c r="F42" s="39"/>
      <c r="G42" s="39"/>
      <c r="H42" s="39"/>
      <c r="I42" s="39"/>
      <c r="J42" s="39"/>
      <c r="K42" s="38" t="s">
        <v>525</v>
      </c>
      <c r="L42" s="39"/>
      <c r="M42" s="39"/>
      <c r="N42" s="39"/>
      <c r="O42" s="39"/>
      <c r="P42" s="39"/>
      <c r="Q42" s="39"/>
      <c r="R42" s="39"/>
      <c r="S42" s="39"/>
      <c r="T42" s="38" t="s">
        <v>526</v>
      </c>
      <c r="U42" s="39"/>
      <c r="V42" s="39"/>
      <c r="W42" s="39"/>
      <c r="X42" s="39"/>
      <c r="Y42" s="39"/>
      <c r="Z42" s="39"/>
      <c r="AA42" s="39"/>
      <c r="AB42" s="39"/>
    </row>
    <row r="43" spans="1:28" ht="12.75" customHeight="1">
      <c r="A43" s="1"/>
      <c r="B43" s="47" t="str">
        <f>"Closed "&amp;TEXT('KPI Engine (Final)'!B228,"#,##0")&amp;" of "&amp;TEXT('KPI Engine (Final)'!D228,"#,##0")&amp;" (withdrawn excluded)"</f>
        <v>Closed 620 of 689 (withdrawn excluded)</v>
      </c>
      <c r="C43" s="39"/>
      <c r="D43" s="39"/>
      <c r="E43" s="39"/>
      <c r="F43" s="39"/>
      <c r="G43" s="39"/>
      <c r="H43" s="68">
        <f>'KPI Engine (Final)'!E228</f>
        <v>0.89985486211901311</v>
      </c>
      <c r="I43" s="39"/>
      <c r="J43" s="39"/>
      <c r="K43" s="47" t="str">
        <f>"Closed "&amp;TEXT('KPI Engine (Final)'!B229,"#,##0")&amp;" of "&amp;TEXT('KPI Engine (Final)'!D229,"#,##0")&amp;" (withdrawn excluded)"</f>
        <v>Closed 183 of 193 (withdrawn excluded)</v>
      </c>
      <c r="L43" s="39"/>
      <c r="M43" s="39"/>
      <c r="N43" s="39"/>
      <c r="O43" s="39"/>
      <c r="P43" s="39"/>
      <c r="Q43" s="68">
        <f>'KPI Engine (Final)'!E229</f>
        <v>0.94818652849740936</v>
      </c>
      <c r="R43" s="39"/>
      <c r="S43" s="39"/>
      <c r="T43" s="47" t="str">
        <f>"Closed "&amp;TEXT('KPI Engine (Final)'!B230,"#,##0")&amp;" of "&amp;TEXT('KPI Engine (Final)'!D230,"#,##0")&amp;" (withdrawn excluded)"</f>
        <v>Closed 432 of 484 (withdrawn excluded)</v>
      </c>
      <c r="U43" s="39"/>
      <c r="V43" s="39"/>
      <c r="W43" s="39"/>
      <c r="X43" s="39"/>
      <c r="Y43" s="39"/>
      <c r="Z43" s="68">
        <f>'KPI Engine (Final)'!E230</f>
        <v>0.8925619834710744</v>
      </c>
      <c r="AA43" s="39"/>
      <c r="AB43" s="39"/>
    </row>
    <row r="44" spans="1:28" ht="15" customHeight="1">
      <c r="A44" s="1"/>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spans="1:28" ht="15" customHeight="1">
      <c r="A45" s="1"/>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spans="1:28" ht="15" customHeight="1">
      <c r="A46" s="1"/>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spans="1:28" ht="15" customHeight="1">
      <c r="A47" s="1"/>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spans="1:28" ht="15" customHeight="1">
      <c r="A48" s="1"/>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ht="15" customHeight="1">
      <c r="A49" s="1"/>
      <c r="B49" s="82">
        <f>'KPI Engine (Final)'!E228</f>
        <v>0.89985486211901311</v>
      </c>
      <c r="C49" s="83"/>
      <c r="D49" s="83"/>
      <c r="E49" s="83"/>
      <c r="F49" s="83"/>
      <c r="G49" s="83"/>
      <c r="H49" s="83"/>
      <c r="I49" s="83"/>
      <c r="J49" s="83"/>
      <c r="K49" s="82">
        <f>'KPI Engine (Final)'!E229</f>
        <v>0.94818652849740936</v>
      </c>
      <c r="L49" s="83"/>
      <c r="M49" s="83"/>
      <c r="N49" s="83"/>
      <c r="O49" s="83"/>
      <c r="P49" s="83"/>
      <c r="Q49" s="83"/>
      <c r="R49" s="83"/>
      <c r="S49" s="83"/>
      <c r="T49" s="3"/>
      <c r="U49" s="3"/>
      <c r="V49" s="82">
        <f>'KPI Engine (Final)'!E230</f>
        <v>0.8925619834710744</v>
      </c>
      <c r="W49" s="83"/>
      <c r="X49" s="83"/>
      <c r="Y49" s="83"/>
      <c r="Z49" s="83"/>
      <c r="AA49" s="3"/>
      <c r="AB49" s="3"/>
    </row>
    <row r="50" spans="1:28" ht="15" customHeight="1">
      <c r="A50" s="1"/>
      <c r="B50" s="83"/>
      <c r="C50" s="83"/>
      <c r="D50" s="83"/>
      <c r="E50" s="83"/>
      <c r="F50" s="83"/>
      <c r="G50" s="83"/>
      <c r="H50" s="83"/>
      <c r="I50" s="83"/>
      <c r="J50" s="83"/>
      <c r="K50" s="83"/>
      <c r="L50" s="83"/>
      <c r="M50" s="83"/>
      <c r="N50" s="83"/>
      <c r="O50" s="83"/>
      <c r="P50" s="83"/>
      <c r="Q50" s="83"/>
      <c r="R50" s="83"/>
      <c r="S50" s="83"/>
      <c r="T50" s="3"/>
      <c r="U50" s="3"/>
      <c r="V50" s="83"/>
      <c r="W50" s="83"/>
      <c r="X50" s="83"/>
      <c r="Y50" s="83"/>
      <c r="Z50" s="83"/>
      <c r="AA50" s="3"/>
      <c r="AB50" s="3"/>
    </row>
    <row r="51" spans="1:28" ht="15" customHeight="1">
      <c r="A51" s="1"/>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ht="15" customHeight="1">
      <c r="A52" s="1"/>
      <c r="B52" s="30" t="s">
        <v>527</v>
      </c>
      <c r="C52" s="3"/>
      <c r="D52" s="3"/>
      <c r="E52" s="3"/>
      <c r="F52" s="3"/>
      <c r="G52" s="3"/>
      <c r="H52" s="3"/>
      <c r="I52" s="3"/>
      <c r="J52" s="31" t="s">
        <v>528</v>
      </c>
      <c r="K52" s="3"/>
      <c r="L52" s="30" t="s">
        <v>527</v>
      </c>
      <c r="M52" s="3"/>
      <c r="N52" s="3"/>
      <c r="O52" s="3"/>
      <c r="P52" s="3"/>
      <c r="Q52" s="3"/>
      <c r="R52" s="3"/>
      <c r="S52" s="31" t="s">
        <v>528</v>
      </c>
      <c r="T52" s="3"/>
      <c r="U52" s="30" t="s">
        <v>527</v>
      </c>
      <c r="V52" s="3"/>
      <c r="W52" s="3"/>
      <c r="X52" s="3"/>
      <c r="Y52" s="3"/>
      <c r="Z52" s="3"/>
      <c r="AA52" s="31" t="s">
        <v>528</v>
      </c>
      <c r="AB52" s="3"/>
    </row>
    <row r="53" spans="1:28" ht="15" customHeight="1">
      <c r="A53" s="1"/>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ht="15" customHeight="1">
      <c r="A54" s="1"/>
      <c r="B54" s="84" t="s">
        <v>3</v>
      </c>
      <c r="C54" s="83"/>
      <c r="D54" s="83"/>
      <c r="E54" s="84" t="s">
        <v>8</v>
      </c>
      <c r="F54" s="83"/>
      <c r="G54" s="83"/>
      <c r="H54" s="84" t="s">
        <v>131</v>
      </c>
      <c r="I54" s="83"/>
      <c r="J54" s="83"/>
      <c r="K54" s="84" t="s">
        <v>3</v>
      </c>
      <c r="L54" s="83"/>
      <c r="M54" s="83"/>
      <c r="N54" s="84" t="s">
        <v>8</v>
      </c>
      <c r="O54" s="83"/>
      <c r="P54" s="83"/>
      <c r="Q54" s="84" t="s">
        <v>131</v>
      </c>
      <c r="R54" s="83"/>
      <c r="S54" s="83"/>
      <c r="T54" s="84" t="s">
        <v>3</v>
      </c>
      <c r="U54" s="83"/>
      <c r="V54" s="83"/>
      <c r="W54" s="84" t="s">
        <v>8</v>
      </c>
      <c r="X54" s="83"/>
      <c r="Y54" s="83"/>
      <c r="Z54" s="84" t="s">
        <v>131</v>
      </c>
      <c r="AA54" s="83"/>
      <c r="AB54" s="83"/>
    </row>
    <row r="55" spans="1:28" ht="15" customHeight="1">
      <c r="A55" s="1"/>
      <c r="B55" s="85">
        <f>'KPI Engine (Final)'!B228</f>
        <v>620</v>
      </c>
      <c r="C55" s="83"/>
      <c r="D55" s="83"/>
      <c r="E55" s="86">
        <f>'KPI Engine (Final)'!C228</f>
        <v>69</v>
      </c>
      <c r="F55" s="83"/>
      <c r="G55" s="83"/>
      <c r="H55" s="87">
        <f>'KPI Engine (Final)'!D228</f>
        <v>689</v>
      </c>
      <c r="I55" s="83"/>
      <c r="J55" s="83"/>
      <c r="K55" s="85">
        <f>'KPI Engine (Final)'!B229</f>
        <v>183</v>
      </c>
      <c r="L55" s="83"/>
      <c r="M55" s="83"/>
      <c r="N55" s="86">
        <f>'KPI Engine (Final)'!C229</f>
        <v>10</v>
      </c>
      <c r="O55" s="83"/>
      <c r="P55" s="83"/>
      <c r="Q55" s="87">
        <f>'KPI Engine (Final)'!D229</f>
        <v>193</v>
      </c>
      <c r="R55" s="83"/>
      <c r="S55" s="83"/>
      <c r="T55" s="85">
        <f>'KPI Engine (Final)'!B230</f>
        <v>432</v>
      </c>
      <c r="U55" s="83"/>
      <c r="V55" s="83"/>
      <c r="W55" s="86">
        <f>'KPI Engine (Final)'!C230</f>
        <v>52</v>
      </c>
      <c r="X55" s="83"/>
      <c r="Y55" s="83"/>
      <c r="Z55" s="87">
        <f>'KPI Engine (Final)'!D230</f>
        <v>484</v>
      </c>
      <c r="AA55" s="83"/>
      <c r="AB55" s="83"/>
    </row>
    <row r="56" spans="1:28" ht="15" customHeight="1">
      <c r="A56" s="1"/>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5" customHeight="1">
      <c r="A57" s="1"/>
      <c r="B57" s="88" t="str">
        <f>"Dial zones:  red &lt; "&amp;'KPI Engine (Final)'!$B$200&amp;"%   |   amber "&amp;'KPI Engine (Final)'!$B$200&amp;"–"&amp;'KPI Engine (Final)'!$B$201&amp;"%   |   green ≥ "&amp;'KPI Engine (Final)'!$B$201&amp;"%"</f>
        <v>Dial zones:  red &lt; 75%   |   amber 75–90%   |   green ≥ 90%</v>
      </c>
      <c r="C57" s="83"/>
      <c r="D57" s="83"/>
      <c r="E57" s="83"/>
      <c r="F57" s="83"/>
      <c r="G57" s="83"/>
      <c r="H57" s="83"/>
      <c r="I57" s="83"/>
      <c r="J57" s="83"/>
      <c r="K57" s="88" t="str">
        <f>"Dial zones:  red &lt; "&amp;'KPI Engine (Final)'!$B$200&amp;"%   |   amber "&amp;'KPI Engine (Final)'!$B$200&amp;"–"&amp;'KPI Engine (Final)'!$B$201&amp;"%   |   green ≥ "&amp;'KPI Engine (Final)'!$B$201&amp;"%"</f>
        <v>Dial zones:  red &lt; 75%   |   amber 75–90%   |   green ≥ 90%</v>
      </c>
      <c r="L57" s="83"/>
      <c r="M57" s="83"/>
      <c r="N57" s="83"/>
      <c r="O57" s="83"/>
      <c r="P57" s="83"/>
      <c r="Q57" s="83"/>
      <c r="R57" s="83"/>
      <c r="S57" s="83"/>
      <c r="T57" s="88" t="str">
        <f>"Dial zones:  red &lt; "&amp;'KPI Engine (Final)'!$B$200&amp;"%   |   amber "&amp;'KPI Engine (Final)'!$B$200&amp;"–"&amp;'KPI Engine (Final)'!$B$201&amp;"%   |   green ≥ "&amp;'KPI Engine (Final)'!$B$201&amp;"%"</f>
        <v>Dial zones:  red &lt; 75%   |   amber 75–90%   |   green ≥ 90%</v>
      </c>
      <c r="U57" s="83"/>
      <c r="V57" s="83"/>
      <c r="W57" s="83"/>
      <c r="X57" s="83"/>
      <c r="Y57" s="83"/>
      <c r="Z57" s="83"/>
      <c r="AA57" s="83"/>
      <c r="AB57" s="83"/>
    </row>
    <row r="58" spans="1:28" ht="15" customHeight="1">
      <c r="A58" s="1"/>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5" customHeight="1">
      <c r="A59" s="1"/>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38" t="s">
        <v>529</v>
      </c>
      <c r="C61" s="39"/>
      <c r="D61" s="39"/>
      <c r="E61" s="39"/>
      <c r="F61" s="39"/>
      <c r="G61" s="39"/>
      <c r="H61" s="39"/>
      <c r="I61" s="39"/>
      <c r="J61" s="39"/>
      <c r="K61" s="38" t="s">
        <v>530</v>
      </c>
      <c r="L61" s="39"/>
      <c r="M61" s="39"/>
      <c r="N61" s="39"/>
      <c r="O61" s="39"/>
      <c r="P61" s="39"/>
      <c r="Q61" s="39"/>
      <c r="R61" s="39"/>
      <c r="S61" s="39"/>
      <c r="T61" s="38" t="s">
        <v>531</v>
      </c>
      <c r="U61" s="39"/>
      <c r="V61" s="39"/>
      <c r="W61" s="39"/>
      <c r="X61" s="39"/>
      <c r="Y61" s="39"/>
      <c r="Z61" s="39"/>
      <c r="AA61" s="39"/>
      <c r="AB61" s="39"/>
    </row>
    <row r="62" spans="1:28" ht="12.75" customHeight="1">
      <c r="A62" s="1"/>
      <c r="B62" s="47" t="str">
        <f>"Closed "&amp;TEXT('KPI Engine (Final)'!B231,"#,##0")&amp;" of "&amp;TEXT('KPI Engine (Final)'!D231,"#,##0")&amp;" (withdrawn excluded)"</f>
        <v>Closed 109 of 118 (withdrawn excluded)</v>
      </c>
      <c r="C62" s="39"/>
      <c r="D62" s="39"/>
      <c r="E62" s="39"/>
      <c r="F62" s="39"/>
      <c r="G62" s="39"/>
      <c r="H62" s="68">
        <f>'KPI Engine (Final)'!E231</f>
        <v>0.92372881355932202</v>
      </c>
      <c r="I62" s="39"/>
      <c r="J62" s="39"/>
      <c r="K62" s="47" t="str">
        <f>"Closed "&amp;TEXT('KPI Engine (Final)'!B232,"#,##0")&amp;" of "&amp;TEXT('KPI Engine (Final)'!D232,"#,##0")&amp;" (withdrawn excluded)"</f>
        <v>Closed 138 of 231 (withdrawn excluded)</v>
      </c>
      <c r="L62" s="39"/>
      <c r="M62" s="39"/>
      <c r="N62" s="39"/>
      <c r="O62" s="39"/>
      <c r="P62" s="39"/>
      <c r="Q62" s="68">
        <f>'KPI Engine (Final)'!E232</f>
        <v>0.59740259740259738</v>
      </c>
      <c r="R62" s="39"/>
      <c r="S62" s="39"/>
      <c r="T62" s="47" t="str">
        <f>"Closed "&amp;TEXT('KPI Engine (Final)'!B233,"#,##0")&amp;" of "&amp;TEXT('KPI Engine (Final)'!D233,"#,##0")&amp;" (withdrawn excluded)"</f>
        <v>Closed 7 of 34 (withdrawn excluded)</v>
      </c>
      <c r="U62" s="39"/>
      <c r="V62" s="39"/>
      <c r="W62" s="39"/>
      <c r="X62" s="39"/>
      <c r="Y62" s="39"/>
      <c r="Z62" s="68">
        <f>'KPI Engine (Final)'!E233</f>
        <v>0.20588235294117646</v>
      </c>
      <c r="AA62" s="39"/>
      <c r="AB62" s="39"/>
    </row>
    <row r="63" spans="1:28" ht="15" customHeight="1">
      <c r="A63" s="1"/>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5" customHeight="1">
      <c r="A64" s="1"/>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5" customHeight="1">
      <c r="A65" s="1"/>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5" customHeight="1">
      <c r="A66" s="1"/>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5" customHeight="1">
      <c r="A67" s="1"/>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5" customHeight="1">
      <c r="A68" s="1"/>
      <c r="B68" s="82">
        <f>'KPI Engine (Final)'!E231</f>
        <v>0.92372881355932202</v>
      </c>
      <c r="C68" s="83"/>
      <c r="D68" s="83"/>
      <c r="E68" s="83"/>
      <c r="F68" s="83"/>
      <c r="G68" s="83"/>
      <c r="H68" s="83"/>
      <c r="I68" s="83"/>
      <c r="J68" s="83"/>
      <c r="K68" s="82">
        <f>'KPI Engine (Final)'!E232</f>
        <v>0.59740259740259738</v>
      </c>
      <c r="L68" s="83"/>
      <c r="M68" s="83"/>
      <c r="N68" s="83"/>
      <c r="O68" s="83"/>
      <c r="P68" s="83"/>
      <c r="Q68" s="83"/>
      <c r="R68" s="83"/>
      <c r="S68" s="83"/>
      <c r="T68" s="3"/>
      <c r="U68" s="3"/>
      <c r="V68" s="82">
        <f>'KPI Engine (Final)'!E233</f>
        <v>0.20588235294117646</v>
      </c>
      <c r="W68" s="83"/>
      <c r="X68" s="83"/>
      <c r="Y68" s="83"/>
      <c r="Z68" s="83"/>
      <c r="AA68" s="3"/>
      <c r="AB68" s="3"/>
    </row>
    <row r="69" spans="1:28" ht="15" customHeight="1">
      <c r="A69" s="1"/>
      <c r="B69" s="83"/>
      <c r="C69" s="83"/>
      <c r="D69" s="83"/>
      <c r="E69" s="83"/>
      <c r="F69" s="83"/>
      <c r="G69" s="83"/>
      <c r="H69" s="83"/>
      <c r="I69" s="83"/>
      <c r="J69" s="83"/>
      <c r="K69" s="83"/>
      <c r="L69" s="83"/>
      <c r="M69" s="83"/>
      <c r="N69" s="83"/>
      <c r="O69" s="83"/>
      <c r="P69" s="83"/>
      <c r="Q69" s="83"/>
      <c r="R69" s="83"/>
      <c r="S69" s="83"/>
      <c r="T69" s="3"/>
      <c r="U69" s="3"/>
      <c r="V69" s="83"/>
      <c r="W69" s="83"/>
      <c r="X69" s="83"/>
      <c r="Y69" s="83"/>
      <c r="Z69" s="83"/>
      <c r="AA69" s="3"/>
      <c r="AB69" s="3"/>
    </row>
    <row r="70" spans="1:28" ht="15" customHeight="1">
      <c r="A70" s="1"/>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5" customHeight="1">
      <c r="A71" s="1"/>
      <c r="B71" s="30" t="s">
        <v>527</v>
      </c>
      <c r="C71" s="3"/>
      <c r="D71" s="3"/>
      <c r="E71" s="3"/>
      <c r="F71" s="3"/>
      <c r="G71" s="3"/>
      <c r="H71" s="3"/>
      <c r="I71" s="3"/>
      <c r="J71" s="31" t="s">
        <v>528</v>
      </c>
      <c r="K71" s="3"/>
      <c r="L71" s="30" t="s">
        <v>527</v>
      </c>
      <c r="M71" s="3"/>
      <c r="N71" s="3"/>
      <c r="O71" s="3"/>
      <c r="P71" s="3"/>
      <c r="Q71" s="3"/>
      <c r="R71" s="3"/>
      <c r="S71" s="31" t="s">
        <v>528</v>
      </c>
      <c r="T71" s="3"/>
      <c r="U71" s="30" t="s">
        <v>527</v>
      </c>
      <c r="V71" s="3"/>
      <c r="W71" s="3"/>
      <c r="X71" s="3"/>
      <c r="Y71" s="3"/>
      <c r="Z71" s="3"/>
      <c r="AA71" s="31" t="s">
        <v>528</v>
      </c>
      <c r="AB71" s="3"/>
    </row>
    <row r="72" spans="1:28" ht="15" customHeight="1">
      <c r="A72" s="1"/>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5" customHeight="1">
      <c r="A73" s="1"/>
      <c r="B73" s="84" t="s">
        <v>3</v>
      </c>
      <c r="C73" s="83"/>
      <c r="D73" s="83"/>
      <c r="E73" s="84" t="s">
        <v>8</v>
      </c>
      <c r="F73" s="83"/>
      <c r="G73" s="83"/>
      <c r="H73" s="84" t="s">
        <v>131</v>
      </c>
      <c r="I73" s="83"/>
      <c r="J73" s="83"/>
      <c r="K73" s="84" t="s">
        <v>3</v>
      </c>
      <c r="L73" s="83"/>
      <c r="M73" s="83"/>
      <c r="N73" s="84" t="s">
        <v>8</v>
      </c>
      <c r="O73" s="83"/>
      <c r="P73" s="83"/>
      <c r="Q73" s="84" t="s">
        <v>131</v>
      </c>
      <c r="R73" s="83"/>
      <c r="S73" s="83"/>
      <c r="T73" s="84" t="s">
        <v>3</v>
      </c>
      <c r="U73" s="83"/>
      <c r="V73" s="83"/>
      <c r="W73" s="84" t="s">
        <v>8</v>
      </c>
      <c r="X73" s="83"/>
      <c r="Y73" s="83"/>
      <c r="Z73" s="84" t="s">
        <v>131</v>
      </c>
      <c r="AA73" s="83"/>
      <c r="AB73" s="83"/>
    </row>
    <row r="74" spans="1:28" ht="15" customHeight="1">
      <c r="A74" s="1"/>
      <c r="B74" s="85">
        <f>'KPI Engine (Final)'!B231</f>
        <v>109</v>
      </c>
      <c r="C74" s="83"/>
      <c r="D74" s="83"/>
      <c r="E74" s="86">
        <f>'KPI Engine (Final)'!C231</f>
        <v>9</v>
      </c>
      <c r="F74" s="83"/>
      <c r="G74" s="83"/>
      <c r="H74" s="87">
        <f>'KPI Engine (Final)'!D231</f>
        <v>118</v>
      </c>
      <c r="I74" s="83"/>
      <c r="J74" s="83"/>
      <c r="K74" s="85">
        <f>'KPI Engine (Final)'!B232</f>
        <v>138</v>
      </c>
      <c r="L74" s="83"/>
      <c r="M74" s="83"/>
      <c r="N74" s="86">
        <f>'KPI Engine (Final)'!C232</f>
        <v>93</v>
      </c>
      <c r="O74" s="83"/>
      <c r="P74" s="83"/>
      <c r="Q74" s="87">
        <f>'KPI Engine (Final)'!D232</f>
        <v>231</v>
      </c>
      <c r="R74" s="83"/>
      <c r="S74" s="83"/>
      <c r="T74" s="85">
        <f>'KPI Engine (Final)'!B233</f>
        <v>7</v>
      </c>
      <c r="U74" s="83"/>
      <c r="V74" s="83"/>
      <c r="W74" s="86">
        <f>'KPI Engine (Final)'!C233</f>
        <v>27</v>
      </c>
      <c r="X74" s="83"/>
      <c r="Y74" s="83"/>
      <c r="Z74" s="87">
        <f>'KPI Engine (Final)'!D233</f>
        <v>34</v>
      </c>
      <c r="AA74" s="83"/>
      <c r="AB74" s="83"/>
    </row>
    <row r="75" spans="1:28" ht="15" customHeight="1">
      <c r="A75" s="1"/>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5" customHeight="1">
      <c r="A76" s="1"/>
      <c r="B76" s="88" t="str">
        <f>"Dial zones:  red &lt; "&amp;'KPI Engine (Final)'!$B$200&amp;"%   |   amber "&amp;'KPI Engine (Final)'!$B$200&amp;"–"&amp;'KPI Engine (Final)'!$B$201&amp;"%   |   green ≥ "&amp;'KPI Engine (Final)'!$B$201&amp;"%"</f>
        <v>Dial zones:  red &lt; 75%   |   amber 75–90%   |   green ≥ 90%</v>
      </c>
      <c r="C76" s="83"/>
      <c r="D76" s="83"/>
      <c r="E76" s="83"/>
      <c r="F76" s="83"/>
      <c r="G76" s="83"/>
      <c r="H76" s="83"/>
      <c r="I76" s="83"/>
      <c r="J76" s="83"/>
      <c r="K76" s="88" t="str">
        <f>"Dial zones:  red &lt; "&amp;'KPI Engine (Final)'!$B$200&amp;"%   |   amber "&amp;'KPI Engine (Final)'!$B$200&amp;"–"&amp;'KPI Engine (Final)'!$B$201&amp;"%   |   green ≥ "&amp;'KPI Engine (Final)'!$B$201&amp;"%"</f>
        <v>Dial zones:  red &lt; 75%   |   amber 75–90%   |   green ≥ 90%</v>
      </c>
      <c r="L76" s="83"/>
      <c r="M76" s="83"/>
      <c r="N76" s="83"/>
      <c r="O76" s="83"/>
      <c r="P76" s="83"/>
      <c r="Q76" s="83"/>
      <c r="R76" s="83"/>
      <c r="S76" s="83"/>
      <c r="T76" s="88" t="str">
        <f>"Dial zones:  red &lt; "&amp;'KPI Engine (Final)'!$B$200&amp;"%   |   amber "&amp;'KPI Engine (Final)'!$B$200&amp;"–"&amp;'KPI Engine (Final)'!$B$201&amp;"%   |   green ≥ "&amp;'KPI Engine (Final)'!$B$201&amp;"%"</f>
        <v>Dial zones:  red &lt; 75%   |   amber 75–90%   |   green ≥ 90%</v>
      </c>
      <c r="U76" s="83"/>
      <c r="V76" s="83"/>
      <c r="W76" s="83"/>
      <c r="X76" s="83"/>
      <c r="Y76" s="83"/>
      <c r="Z76" s="83"/>
      <c r="AA76" s="83"/>
      <c r="AB76" s="83"/>
    </row>
    <row r="77" spans="1:28" ht="15" customHeight="1">
      <c r="A77" s="1"/>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5" customHeight="1">
      <c r="A78" s="1"/>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9.5" customHeight="1">
      <c r="A80" s="1"/>
      <c r="B80" s="69" t="s">
        <v>22</v>
      </c>
      <c r="C80" s="39"/>
      <c r="D80" s="39"/>
      <c r="E80" s="39"/>
      <c r="F80" s="39"/>
      <c r="G80" s="39"/>
      <c r="H80" s="39"/>
      <c r="I80" s="39"/>
      <c r="J80" s="39"/>
      <c r="K80" s="39"/>
      <c r="L80" s="39"/>
      <c r="M80" s="39"/>
      <c r="N80" s="39"/>
      <c r="O80" s="39"/>
      <c r="P80" s="39"/>
      <c r="Q80" s="39"/>
      <c r="R80" s="2"/>
      <c r="S80" s="2"/>
      <c r="T80" s="2"/>
      <c r="U80" s="2"/>
      <c r="V80" s="2"/>
      <c r="W80" s="2"/>
      <c r="X80" s="2"/>
      <c r="Y80" s="2"/>
      <c r="Z80" s="2"/>
      <c r="AA80" s="2"/>
      <c r="AB80" s="2"/>
    </row>
    <row r="81" spans="1:28" ht="19.5" customHeight="1">
      <c r="A81" s="1"/>
      <c r="B81" s="61" t="s">
        <v>23</v>
      </c>
      <c r="C81" s="41"/>
      <c r="D81" s="41"/>
      <c r="E81" s="41"/>
      <c r="F81" s="41"/>
      <c r="G81" s="41"/>
      <c r="H81" s="41"/>
      <c r="I81" s="41"/>
      <c r="J81" s="40" t="s">
        <v>7</v>
      </c>
      <c r="K81" s="41"/>
      <c r="L81" s="40" t="s">
        <v>3</v>
      </c>
      <c r="M81" s="41"/>
      <c r="N81" s="40" t="s">
        <v>24</v>
      </c>
      <c r="O81" s="41"/>
      <c r="P81" s="41"/>
      <c r="Q81" s="40" t="s">
        <v>25</v>
      </c>
      <c r="R81" s="41"/>
      <c r="S81" s="41"/>
      <c r="T81" s="40" t="s">
        <v>26</v>
      </c>
      <c r="U81" s="41"/>
      <c r="V81" s="41"/>
      <c r="W81" s="40" t="s">
        <v>27</v>
      </c>
      <c r="X81" s="41"/>
      <c r="Y81" s="41"/>
      <c r="Z81" s="40" t="s">
        <v>28</v>
      </c>
      <c r="AA81" s="41"/>
      <c r="AB81" s="16" t="s">
        <v>29</v>
      </c>
    </row>
    <row r="82" spans="1:28" ht="18.75" customHeight="1">
      <c r="A82" s="1"/>
      <c r="B82" s="36" t="s">
        <v>30</v>
      </c>
      <c r="C82" s="35"/>
      <c r="D82" s="35"/>
      <c r="E82" s="35"/>
      <c r="F82" s="35"/>
      <c r="G82" s="35"/>
      <c r="H82" s="35"/>
      <c r="I82" s="35"/>
      <c r="J82" s="45">
        <f>'KPI Engine (Final)'!B27</f>
        <v>5</v>
      </c>
      <c r="K82" s="35"/>
      <c r="L82" s="67">
        <f>'KPI Engine (Final)'!C27</f>
        <v>0</v>
      </c>
      <c r="M82" s="35"/>
      <c r="N82" s="49">
        <f>'KPI Engine (Final)'!D27</f>
        <v>0</v>
      </c>
      <c r="O82" s="35"/>
      <c r="P82" s="35"/>
      <c r="Q82" s="52">
        <f>'KPI Engine (Final)'!E27</f>
        <v>0</v>
      </c>
      <c r="R82" s="35"/>
      <c r="S82" s="35"/>
      <c r="T82" s="79">
        <f>'KPI Engine (Final)'!F27</f>
        <v>0</v>
      </c>
      <c r="U82" s="35"/>
      <c r="V82" s="35"/>
      <c r="W82" s="53">
        <f>'KPI Engine (Final)'!G27</f>
        <v>0</v>
      </c>
      <c r="X82" s="35"/>
      <c r="Y82" s="35"/>
      <c r="Z82" s="45">
        <f>'KPI Engine (Final)'!H27</f>
        <v>0</v>
      </c>
      <c r="AA82" s="35"/>
      <c r="AB82" s="15">
        <f>'KPI Engine (Final)'!I27</f>
        <v>5</v>
      </c>
    </row>
    <row r="83" spans="1:28" ht="18.75" customHeight="1">
      <c r="A83" s="1"/>
      <c r="B83" s="60" t="s">
        <v>31</v>
      </c>
      <c r="C83" s="35"/>
      <c r="D83" s="35"/>
      <c r="E83" s="35"/>
      <c r="F83" s="35"/>
      <c r="G83" s="35"/>
      <c r="H83" s="35"/>
      <c r="I83" s="35"/>
      <c r="J83" s="51">
        <f>'KPI Engine (Final)'!B28</f>
        <v>4</v>
      </c>
      <c r="K83" s="35"/>
      <c r="L83" s="74">
        <f>'KPI Engine (Final)'!C28</f>
        <v>0</v>
      </c>
      <c r="M83" s="35"/>
      <c r="N83" s="63">
        <f>'KPI Engine (Final)'!D28</f>
        <v>0</v>
      </c>
      <c r="O83" s="35"/>
      <c r="P83" s="35"/>
      <c r="Q83" s="48">
        <f>'KPI Engine (Final)'!E28</f>
        <v>0</v>
      </c>
      <c r="R83" s="35"/>
      <c r="S83" s="35"/>
      <c r="T83" s="54">
        <f>'KPI Engine (Final)'!F28</f>
        <v>0</v>
      </c>
      <c r="U83" s="35"/>
      <c r="V83" s="35"/>
      <c r="W83" s="34">
        <f>'KPI Engine (Final)'!G28</f>
        <v>0</v>
      </c>
      <c r="X83" s="35"/>
      <c r="Y83" s="35"/>
      <c r="Z83" s="51">
        <f>'KPI Engine (Final)'!H28</f>
        <v>0</v>
      </c>
      <c r="AA83" s="35"/>
      <c r="AB83" s="21">
        <f>'KPI Engine (Final)'!I28</f>
        <v>4</v>
      </c>
    </row>
    <row r="84" spans="1:28" ht="18.75" customHeight="1">
      <c r="A84" s="1"/>
      <c r="B84" s="36" t="s">
        <v>32</v>
      </c>
      <c r="C84" s="35"/>
      <c r="D84" s="35"/>
      <c r="E84" s="35"/>
      <c r="F84" s="35"/>
      <c r="G84" s="35"/>
      <c r="H84" s="35"/>
      <c r="I84" s="35"/>
      <c r="J84" s="45">
        <f>'KPI Engine (Final)'!B29</f>
        <v>12</v>
      </c>
      <c r="K84" s="35"/>
      <c r="L84" s="67">
        <f>'KPI Engine (Final)'!C29</f>
        <v>2</v>
      </c>
      <c r="M84" s="35"/>
      <c r="N84" s="49">
        <f>'KPI Engine (Final)'!D29</f>
        <v>0</v>
      </c>
      <c r="O84" s="35"/>
      <c r="P84" s="35"/>
      <c r="Q84" s="52">
        <f>'KPI Engine (Final)'!E29</f>
        <v>0</v>
      </c>
      <c r="R84" s="35"/>
      <c r="S84" s="35"/>
      <c r="T84" s="79">
        <f>'KPI Engine (Final)'!F29</f>
        <v>0</v>
      </c>
      <c r="U84" s="35"/>
      <c r="V84" s="35"/>
      <c r="W84" s="53">
        <f>'KPI Engine (Final)'!G29</f>
        <v>2</v>
      </c>
      <c r="X84" s="35"/>
      <c r="Y84" s="35"/>
      <c r="Z84" s="45">
        <f>'KPI Engine (Final)'!H29</f>
        <v>0</v>
      </c>
      <c r="AA84" s="35"/>
      <c r="AB84" s="15">
        <f>'KPI Engine (Final)'!I29</f>
        <v>10</v>
      </c>
    </row>
    <row r="85" spans="1:28" ht="18.75" customHeight="1">
      <c r="A85" s="1"/>
      <c r="B85" s="60" t="s">
        <v>33</v>
      </c>
      <c r="C85" s="35"/>
      <c r="D85" s="35"/>
      <c r="E85" s="35"/>
      <c r="F85" s="35"/>
      <c r="G85" s="35"/>
      <c r="H85" s="35"/>
      <c r="I85" s="35"/>
      <c r="J85" s="51">
        <f>'KPI Engine (Final)'!B30</f>
        <v>4</v>
      </c>
      <c r="K85" s="35"/>
      <c r="L85" s="74">
        <f>'KPI Engine (Final)'!C30</f>
        <v>3</v>
      </c>
      <c r="M85" s="35"/>
      <c r="N85" s="63">
        <f>'KPI Engine (Final)'!D30</f>
        <v>0</v>
      </c>
      <c r="O85" s="35"/>
      <c r="P85" s="35"/>
      <c r="Q85" s="48">
        <f>'KPI Engine (Final)'!E30</f>
        <v>0</v>
      </c>
      <c r="R85" s="35"/>
      <c r="S85" s="35"/>
      <c r="T85" s="54">
        <f>'KPI Engine (Final)'!F30</f>
        <v>1</v>
      </c>
      <c r="U85" s="35"/>
      <c r="V85" s="35"/>
      <c r="W85" s="34">
        <f>'KPI Engine (Final)'!G30</f>
        <v>2</v>
      </c>
      <c r="X85" s="35"/>
      <c r="Y85" s="35"/>
      <c r="Z85" s="51">
        <f>'KPI Engine (Final)'!H30</f>
        <v>0</v>
      </c>
      <c r="AA85" s="35"/>
      <c r="AB85" s="21">
        <f>'KPI Engine (Final)'!I30</f>
        <v>1</v>
      </c>
    </row>
    <row r="86" spans="1:28" ht="18.75" customHeight="1">
      <c r="A86" s="1"/>
      <c r="B86" s="36" t="s">
        <v>34</v>
      </c>
      <c r="C86" s="35"/>
      <c r="D86" s="35"/>
      <c r="E86" s="35"/>
      <c r="F86" s="35"/>
      <c r="G86" s="35"/>
      <c r="H86" s="35"/>
      <c r="I86" s="35"/>
      <c r="J86" s="45">
        <f>'KPI Engine (Final)'!B31</f>
        <v>9</v>
      </c>
      <c r="K86" s="35"/>
      <c r="L86" s="67">
        <f>'KPI Engine (Final)'!C31</f>
        <v>2</v>
      </c>
      <c r="M86" s="35"/>
      <c r="N86" s="49">
        <f>'KPI Engine (Final)'!D31</f>
        <v>0</v>
      </c>
      <c r="O86" s="35"/>
      <c r="P86" s="35"/>
      <c r="Q86" s="52">
        <f>'KPI Engine (Final)'!E31</f>
        <v>0</v>
      </c>
      <c r="R86" s="35"/>
      <c r="S86" s="35"/>
      <c r="T86" s="79">
        <f>'KPI Engine (Final)'!F31</f>
        <v>0</v>
      </c>
      <c r="U86" s="35"/>
      <c r="V86" s="35"/>
      <c r="W86" s="53">
        <f>'KPI Engine (Final)'!G31</f>
        <v>2</v>
      </c>
      <c r="X86" s="35"/>
      <c r="Y86" s="35"/>
      <c r="Z86" s="45">
        <f>'KPI Engine (Final)'!H31</f>
        <v>0</v>
      </c>
      <c r="AA86" s="35"/>
      <c r="AB86" s="15">
        <f>'KPI Engine (Final)'!I31</f>
        <v>7</v>
      </c>
    </row>
    <row r="87" spans="1:28" ht="21" customHeight="1">
      <c r="A87" s="1"/>
      <c r="B87" s="75" t="s">
        <v>35</v>
      </c>
      <c r="C87" s="39"/>
      <c r="D87" s="39"/>
      <c r="E87" s="39"/>
      <c r="F87" s="39"/>
      <c r="G87" s="39"/>
      <c r="H87" s="39"/>
      <c r="I87" s="39"/>
      <c r="J87" s="57">
        <f>'KPI Engine (Final)'!B32</f>
        <v>34</v>
      </c>
      <c r="K87" s="39"/>
      <c r="L87" s="57">
        <f>'KPI Engine (Final)'!C32</f>
        <v>7</v>
      </c>
      <c r="M87" s="39"/>
      <c r="N87" s="57">
        <f>'KPI Engine (Final)'!D32</f>
        <v>0</v>
      </c>
      <c r="O87" s="39"/>
      <c r="P87" s="39"/>
      <c r="Q87" s="57">
        <f>'KPI Engine (Final)'!E32</f>
        <v>0</v>
      </c>
      <c r="R87" s="39"/>
      <c r="S87" s="39"/>
      <c r="T87" s="57">
        <f>'KPI Engine (Final)'!F32</f>
        <v>1</v>
      </c>
      <c r="U87" s="39"/>
      <c r="V87" s="39"/>
      <c r="W87" s="57">
        <f>'KPI Engine (Final)'!G32</f>
        <v>6</v>
      </c>
      <c r="X87" s="39"/>
      <c r="Y87" s="39"/>
      <c r="Z87" s="57">
        <f>'KPI Engine (Final)'!H32</f>
        <v>0</v>
      </c>
      <c r="AA87" s="39"/>
      <c r="AB87" s="17">
        <f>'KPI Engine (Final)'!I32</f>
        <v>27</v>
      </c>
    </row>
    <row r="88" spans="1:28" ht="1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38" t="s">
        <v>36</v>
      </c>
      <c r="C89" s="39"/>
      <c r="D89" s="39"/>
      <c r="E89" s="39"/>
      <c r="F89" s="39"/>
      <c r="G89" s="39"/>
      <c r="H89" s="39"/>
      <c r="I89" s="39"/>
      <c r="J89" s="39"/>
      <c r="K89" s="38" t="s">
        <v>37</v>
      </c>
      <c r="L89" s="39"/>
      <c r="M89" s="39"/>
      <c r="N89" s="39"/>
      <c r="O89" s="39"/>
      <c r="P89" s="39"/>
      <c r="Q89" s="39"/>
      <c r="R89" s="39"/>
      <c r="S89" s="39"/>
      <c r="T89" s="38" t="s">
        <v>38</v>
      </c>
      <c r="U89" s="39"/>
      <c r="V89" s="39"/>
      <c r="W89" s="39"/>
      <c r="X89" s="39"/>
      <c r="Y89" s="39"/>
      <c r="Z89" s="39"/>
      <c r="AA89" s="39"/>
      <c r="AB89" s="39"/>
    </row>
    <row r="90" spans="1:28" ht="12" customHeight="1">
      <c r="A90" s="1"/>
      <c r="B90" s="47" t="s">
        <v>39</v>
      </c>
      <c r="C90" s="39"/>
      <c r="D90" s="39"/>
      <c r="E90" s="39"/>
      <c r="F90" s="39"/>
      <c r="G90" s="39"/>
      <c r="H90" s="39"/>
      <c r="I90" s="39"/>
      <c r="J90" s="39"/>
      <c r="K90" s="47" t="s">
        <v>532</v>
      </c>
      <c r="L90" s="39"/>
      <c r="M90" s="39"/>
      <c r="N90" s="39"/>
      <c r="O90" s="39"/>
      <c r="P90" s="39"/>
      <c r="Q90" s="39"/>
      <c r="R90" s="39"/>
      <c r="S90" s="39"/>
      <c r="T90" s="47" t="s">
        <v>40</v>
      </c>
      <c r="U90" s="39"/>
      <c r="V90" s="39"/>
      <c r="W90" s="39"/>
      <c r="X90" s="39"/>
      <c r="Y90" s="39"/>
      <c r="Z90" s="39"/>
      <c r="AA90" s="39"/>
      <c r="AB90" s="39"/>
    </row>
    <row r="91" spans="1:28" ht="15" customHeight="1">
      <c r="A91" s="1"/>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5" customHeight="1">
      <c r="A92" s="1"/>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5" customHeight="1">
      <c r="A93" s="1"/>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5" customHeight="1">
      <c r="A94" s="1"/>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5" customHeight="1">
      <c r="A95" s="1"/>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5" customHeight="1">
      <c r="A96" s="1"/>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5" customHeight="1">
      <c r="A97" s="1"/>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5" customHeight="1">
      <c r="A98" s="1"/>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5" customHeight="1">
      <c r="A99" s="1"/>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5" customHeight="1">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5" customHeight="1">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5" customHeight="1">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5" customHeight="1">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5" customHeight="1">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5" customHeight="1">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9.5" customHeight="1">
      <c r="A108" s="1"/>
      <c r="B108" s="69" t="s">
        <v>41</v>
      </c>
      <c r="C108" s="39"/>
      <c r="D108" s="39"/>
      <c r="E108" s="39"/>
      <c r="F108" s="39"/>
      <c r="G108" s="39"/>
      <c r="H108" s="39"/>
      <c r="I108" s="39"/>
      <c r="J108" s="39"/>
      <c r="K108" s="39"/>
      <c r="L108" s="39"/>
      <c r="M108" s="39"/>
      <c r="N108" s="39"/>
      <c r="O108" s="39"/>
      <c r="P108" s="39"/>
      <c r="Q108" s="39"/>
      <c r="R108" s="2"/>
      <c r="S108" s="2"/>
      <c r="T108" s="2"/>
      <c r="U108" s="2"/>
      <c r="V108" s="2"/>
      <c r="W108" s="2"/>
      <c r="X108" s="2"/>
      <c r="Y108" s="2"/>
      <c r="Z108" s="2"/>
      <c r="AA108" s="2"/>
      <c r="AB108" s="2"/>
    </row>
    <row r="109" spans="1:28" ht="15.75" customHeight="1">
      <c r="A109" s="1"/>
      <c r="B109" s="38" t="s">
        <v>42</v>
      </c>
      <c r="C109" s="39"/>
      <c r="D109" s="39"/>
      <c r="E109" s="39"/>
      <c r="F109" s="39"/>
      <c r="G109" s="39"/>
      <c r="H109" s="39"/>
      <c r="I109" s="39"/>
      <c r="J109" s="39"/>
      <c r="K109" s="39"/>
      <c r="L109" s="39"/>
      <c r="M109" s="39"/>
      <c r="N109" s="39"/>
      <c r="O109" s="39"/>
      <c r="P109" s="39"/>
      <c r="Q109" s="39"/>
      <c r="R109" s="39"/>
      <c r="S109" s="39"/>
      <c r="T109" s="1"/>
      <c r="U109" s="38" t="s">
        <v>43</v>
      </c>
      <c r="V109" s="39"/>
      <c r="W109" s="39"/>
      <c r="X109" s="39"/>
      <c r="Y109" s="39"/>
      <c r="Z109" s="39"/>
      <c r="AA109" s="39"/>
      <c r="AB109" s="39"/>
    </row>
    <row r="110" spans="1:28" ht="12" customHeight="1">
      <c r="A110" s="1"/>
      <c r="B110" s="47" t="s">
        <v>44</v>
      </c>
      <c r="C110" s="39"/>
      <c r="D110" s="39"/>
      <c r="E110" s="39"/>
      <c r="F110" s="39"/>
      <c r="G110" s="39"/>
      <c r="H110" s="39"/>
      <c r="I110" s="39"/>
      <c r="J110" s="39"/>
      <c r="K110" s="39"/>
      <c r="L110" s="39"/>
      <c r="M110" s="39"/>
      <c r="N110" s="39"/>
      <c r="O110" s="39"/>
      <c r="P110" s="39"/>
      <c r="Q110" s="39"/>
      <c r="R110" s="39"/>
      <c r="S110" s="39"/>
      <c r="T110" s="1"/>
      <c r="U110" s="47" t="s">
        <v>45</v>
      </c>
      <c r="V110" s="39"/>
      <c r="W110" s="39"/>
      <c r="X110" s="39"/>
      <c r="Y110" s="39"/>
      <c r="Z110" s="39"/>
      <c r="AA110" s="39"/>
      <c r="AB110" s="39"/>
    </row>
    <row r="111" spans="1:28" ht="15" customHeight="1">
      <c r="A111" s="1"/>
      <c r="B111" s="3"/>
      <c r="C111" s="3"/>
      <c r="D111" s="3"/>
      <c r="E111" s="3"/>
      <c r="F111" s="3"/>
      <c r="G111" s="3"/>
      <c r="H111" s="3"/>
      <c r="I111" s="3"/>
      <c r="J111" s="3"/>
      <c r="K111" s="3"/>
      <c r="L111" s="3"/>
      <c r="M111" s="3"/>
      <c r="N111" s="3"/>
      <c r="O111" s="3"/>
      <c r="P111" s="3"/>
      <c r="Q111" s="3"/>
      <c r="R111" s="3"/>
      <c r="S111" s="3"/>
      <c r="T111" s="1"/>
      <c r="U111" s="3"/>
      <c r="V111" s="3"/>
      <c r="W111" s="3"/>
      <c r="X111" s="3"/>
      <c r="Y111" s="3"/>
      <c r="Z111" s="3"/>
      <c r="AA111" s="3"/>
      <c r="AB111" s="3"/>
    </row>
    <row r="112" spans="1:28" ht="15" customHeight="1">
      <c r="A112" s="1"/>
      <c r="B112" s="3"/>
      <c r="C112" s="3"/>
      <c r="D112" s="3"/>
      <c r="E112" s="3"/>
      <c r="F112" s="3"/>
      <c r="G112" s="3"/>
      <c r="H112" s="3"/>
      <c r="I112" s="3"/>
      <c r="J112" s="3"/>
      <c r="K112" s="3"/>
      <c r="L112" s="3"/>
      <c r="M112" s="3"/>
      <c r="N112" s="3"/>
      <c r="O112" s="3"/>
      <c r="P112" s="3"/>
      <c r="Q112" s="3"/>
      <c r="R112" s="3"/>
      <c r="S112" s="3"/>
      <c r="T112" s="1"/>
      <c r="U112" s="3"/>
      <c r="V112" s="3"/>
      <c r="W112" s="3"/>
      <c r="X112" s="3"/>
      <c r="Y112" s="3"/>
      <c r="Z112" s="3"/>
      <c r="AA112" s="3"/>
      <c r="AB112" s="3"/>
    </row>
    <row r="113" spans="1:28" ht="15" customHeight="1">
      <c r="A113" s="1"/>
      <c r="B113" s="3"/>
      <c r="C113" s="3"/>
      <c r="D113" s="3"/>
      <c r="E113" s="3"/>
      <c r="F113" s="3"/>
      <c r="G113" s="3"/>
      <c r="H113" s="3"/>
      <c r="I113" s="3"/>
      <c r="J113" s="3"/>
      <c r="K113" s="3"/>
      <c r="L113" s="3"/>
      <c r="M113" s="3"/>
      <c r="N113" s="3"/>
      <c r="O113" s="3"/>
      <c r="P113" s="3"/>
      <c r="Q113" s="3"/>
      <c r="R113" s="3"/>
      <c r="S113" s="3"/>
      <c r="T113" s="1"/>
      <c r="U113" s="3"/>
      <c r="V113" s="3"/>
      <c r="W113" s="3"/>
      <c r="X113" s="3"/>
      <c r="Y113" s="3"/>
      <c r="Z113" s="3"/>
      <c r="AA113" s="3"/>
      <c r="AB113" s="3"/>
    </row>
    <row r="114" spans="1:28" ht="15" customHeight="1">
      <c r="A114" s="1"/>
      <c r="B114" s="3"/>
      <c r="C114" s="3"/>
      <c r="D114" s="3"/>
      <c r="E114" s="3"/>
      <c r="F114" s="3"/>
      <c r="G114" s="3"/>
      <c r="H114" s="3"/>
      <c r="I114" s="3"/>
      <c r="J114" s="3"/>
      <c r="K114" s="3"/>
      <c r="L114" s="3"/>
      <c r="M114" s="3"/>
      <c r="N114" s="3"/>
      <c r="O114" s="3"/>
      <c r="P114" s="3"/>
      <c r="Q114" s="3"/>
      <c r="R114" s="3"/>
      <c r="S114" s="3"/>
      <c r="T114" s="1"/>
      <c r="U114" s="3"/>
      <c r="V114" s="3"/>
      <c r="W114" s="3"/>
      <c r="X114" s="3"/>
      <c r="Y114" s="3"/>
      <c r="Z114" s="3"/>
      <c r="AA114" s="3"/>
      <c r="AB114" s="3"/>
    </row>
    <row r="115" spans="1:28" ht="15" customHeight="1">
      <c r="A115" s="1"/>
      <c r="B115" s="3"/>
      <c r="C115" s="3"/>
      <c r="D115" s="3"/>
      <c r="E115" s="3"/>
      <c r="F115" s="3"/>
      <c r="G115" s="3"/>
      <c r="H115" s="3"/>
      <c r="I115" s="3"/>
      <c r="J115" s="3"/>
      <c r="K115" s="3"/>
      <c r="L115" s="3"/>
      <c r="M115" s="3"/>
      <c r="N115" s="3"/>
      <c r="O115" s="3"/>
      <c r="P115" s="3"/>
      <c r="Q115" s="3"/>
      <c r="R115" s="3"/>
      <c r="S115" s="3"/>
      <c r="T115" s="1"/>
      <c r="U115" s="3"/>
      <c r="V115" s="3"/>
      <c r="W115" s="3"/>
      <c r="X115" s="3"/>
      <c r="Y115" s="3"/>
      <c r="Z115" s="3"/>
      <c r="AA115" s="3"/>
      <c r="AB115" s="3"/>
    </row>
    <row r="116" spans="1:28" ht="15" customHeight="1">
      <c r="A116" s="1"/>
      <c r="B116" s="3"/>
      <c r="C116" s="3"/>
      <c r="D116" s="3"/>
      <c r="E116" s="3"/>
      <c r="F116" s="3"/>
      <c r="G116" s="3"/>
      <c r="H116" s="3"/>
      <c r="I116" s="3"/>
      <c r="J116" s="3"/>
      <c r="K116" s="3"/>
      <c r="L116" s="3"/>
      <c r="M116" s="3"/>
      <c r="N116" s="3"/>
      <c r="O116" s="3"/>
      <c r="P116" s="3"/>
      <c r="Q116" s="3"/>
      <c r="R116" s="3"/>
      <c r="S116" s="3"/>
      <c r="T116" s="1"/>
      <c r="U116" s="3"/>
      <c r="V116" s="3"/>
      <c r="W116" s="3"/>
      <c r="X116" s="3"/>
      <c r="Y116" s="3"/>
      <c r="Z116" s="3"/>
      <c r="AA116" s="3"/>
      <c r="AB116" s="3"/>
    </row>
    <row r="117" spans="1:28" ht="15" customHeight="1">
      <c r="A117" s="1"/>
      <c r="B117" s="3"/>
      <c r="C117" s="3"/>
      <c r="D117" s="3"/>
      <c r="E117" s="3"/>
      <c r="F117" s="3"/>
      <c r="G117" s="3"/>
      <c r="H117" s="3"/>
      <c r="I117" s="3"/>
      <c r="J117" s="3"/>
      <c r="K117" s="3"/>
      <c r="L117" s="3"/>
      <c r="M117" s="3"/>
      <c r="N117" s="3"/>
      <c r="O117" s="3"/>
      <c r="P117" s="3"/>
      <c r="Q117" s="3"/>
      <c r="R117" s="3"/>
      <c r="S117" s="3"/>
      <c r="T117" s="1"/>
      <c r="U117" s="3"/>
      <c r="V117" s="3"/>
      <c r="W117" s="3"/>
      <c r="X117" s="3"/>
      <c r="Y117" s="3"/>
      <c r="Z117" s="3"/>
      <c r="AA117" s="3"/>
      <c r="AB117" s="3"/>
    </row>
    <row r="118" spans="1:28" ht="15" customHeight="1">
      <c r="A118" s="1"/>
      <c r="B118" s="3"/>
      <c r="C118" s="3"/>
      <c r="D118" s="3"/>
      <c r="E118" s="3"/>
      <c r="F118" s="3"/>
      <c r="G118" s="3"/>
      <c r="H118" s="3"/>
      <c r="I118" s="3"/>
      <c r="J118" s="3"/>
      <c r="K118" s="3"/>
      <c r="L118" s="3"/>
      <c r="M118" s="3"/>
      <c r="N118" s="3"/>
      <c r="O118" s="3"/>
      <c r="P118" s="3"/>
      <c r="Q118" s="3"/>
      <c r="R118" s="3"/>
      <c r="S118" s="3"/>
      <c r="T118" s="1"/>
      <c r="U118" s="3"/>
      <c r="V118" s="3"/>
      <c r="W118" s="3"/>
      <c r="X118" s="3"/>
      <c r="Y118" s="3"/>
      <c r="Z118" s="3"/>
      <c r="AA118" s="3"/>
      <c r="AB118" s="3"/>
    </row>
    <row r="119" spans="1:28" ht="15" customHeight="1">
      <c r="A119" s="1"/>
      <c r="B119" s="3"/>
      <c r="C119" s="3"/>
      <c r="D119" s="3"/>
      <c r="E119" s="3"/>
      <c r="F119" s="3"/>
      <c r="G119" s="3"/>
      <c r="H119" s="3"/>
      <c r="I119" s="3"/>
      <c r="J119" s="3"/>
      <c r="K119" s="3"/>
      <c r="L119" s="3"/>
      <c r="M119" s="3"/>
      <c r="N119" s="3"/>
      <c r="O119" s="3"/>
      <c r="P119" s="3"/>
      <c r="Q119" s="3"/>
      <c r="R119" s="3"/>
      <c r="S119" s="3"/>
      <c r="T119" s="1"/>
      <c r="U119" s="3"/>
      <c r="V119" s="3"/>
      <c r="W119" s="3"/>
      <c r="X119" s="3"/>
      <c r="Y119" s="3"/>
      <c r="Z119" s="3"/>
      <c r="AA119" s="3"/>
      <c r="AB119" s="3"/>
    </row>
    <row r="120" spans="1:28" ht="15" customHeight="1">
      <c r="A120" s="1"/>
      <c r="B120" s="3"/>
      <c r="C120" s="3"/>
      <c r="D120" s="3"/>
      <c r="E120" s="3"/>
      <c r="F120" s="3"/>
      <c r="G120" s="3"/>
      <c r="H120" s="3"/>
      <c r="I120" s="3"/>
      <c r="J120" s="3"/>
      <c r="K120" s="3"/>
      <c r="L120" s="3"/>
      <c r="M120" s="3"/>
      <c r="N120" s="3"/>
      <c r="O120" s="3"/>
      <c r="P120" s="3"/>
      <c r="Q120" s="3"/>
      <c r="R120" s="3"/>
      <c r="S120" s="3"/>
      <c r="T120" s="1"/>
      <c r="U120" s="3"/>
      <c r="V120" s="3"/>
      <c r="W120" s="3"/>
      <c r="X120" s="3"/>
      <c r="Y120" s="3"/>
      <c r="Z120" s="3"/>
      <c r="AA120" s="3"/>
      <c r="AB120" s="3"/>
    </row>
    <row r="121" spans="1:28" ht="15" customHeight="1">
      <c r="A121" s="1"/>
      <c r="B121" s="3"/>
      <c r="C121" s="3"/>
      <c r="D121" s="3"/>
      <c r="E121" s="3"/>
      <c r="F121" s="3"/>
      <c r="G121" s="3"/>
      <c r="H121" s="3"/>
      <c r="I121" s="3"/>
      <c r="J121" s="3"/>
      <c r="K121" s="3"/>
      <c r="L121" s="3"/>
      <c r="M121" s="3"/>
      <c r="N121" s="3"/>
      <c r="O121" s="3"/>
      <c r="P121" s="3"/>
      <c r="Q121" s="3"/>
      <c r="R121" s="3"/>
      <c r="S121" s="3"/>
      <c r="T121" s="1"/>
      <c r="U121" s="3"/>
      <c r="V121" s="3"/>
      <c r="W121" s="3"/>
      <c r="X121" s="3"/>
      <c r="Y121" s="3"/>
      <c r="Z121" s="3"/>
      <c r="AA121" s="3"/>
      <c r="AB121" s="3"/>
    </row>
    <row r="122" spans="1:28" ht="15" customHeight="1">
      <c r="A122" s="1"/>
      <c r="B122" s="3"/>
      <c r="C122" s="3"/>
      <c r="D122" s="3"/>
      <c r="E122" s="3"/>
      <c r="F122" s="3"/>
      <c r="G122" s="3"/>
      <c r="H122" s="3"/>
      <c r="I122" s="3"/>
      <c r="J122" s="3"/>
      <c r="K122" s="3"/>
      <c r="L122" s="3"/>
      <c r="M122" s="3"/>
      <c r="N122" s="3"/>
      <c r="O122" s="3"/>
      <c r="P122" s="3"/>
      <c r="Q122" s="3"/>
      <c r="R122" s="3"/>
      <c r="S122" s="3"/>
      <c r="T122" s="1"/>
      <c r="U122" s="3"/>
      <c r="V122" s="3"/>
      <c r="W122" s="3"/>
      <c r="X122" s="3"/>
      <c r="Y122" s="3"/>
      <c r="Z122" s="3"/>
      <c r="AA122" s="3"/>
      <c r="AB122" s="3"/>
    </row>
    <row r="123" spans="1:28" ht="15" customHeight="1">
      <c r="A123" s="1"/>
      <c r="B123" s="3"/>
      <c r="C123" s="3"/>
      <c r="D123" s="3"/>
      <c r="E123" s="3"/>
      <c r="F123" s="3"/>
      <c r="G123" s="3"/>
      <c r="H123" s="3"/>
      <c r="I123" s="3"/>
      <c r="J123" s="3"/>
      <c r="K123" s="3"/>
      <c r="L123" s="3"/>
      <c r="M123" s="3"/>
      <c r="N123" s="3"/>
      <c r="O123" s="3"/>
      <c r="P123" s="3"/>
      <c r="Q123" s="3"/>
      <c r="R123" s="3"/>
      <c r="S123" s="3"/>
      <c r="T123" s="1"/>
      <c r="U123" s="3"/>
      <c r="V123" s="3"/>
      <c r="W123" s="3"/>
      <c r="X123" s="3"/>
      <c r="Y123" s="3"/>
      <c r="Z123" s="3"/>
      <c r="AA123" s="3"/>
      <c r="AB123" s="3"/>
    </row>
    <row r="124" spans="1:28" ht="15" customHeight="1">
      <c r="A124" s="1"/>
      <c r="B124" s="3"/>
      <c r="C124" s="3"/>
      <c r="D124" s="3"/>
      <c r="E124" s="3"/>
      <c r="F124" s="3"/>
      <c r="G124" s="3"/>
      <c r="H124" s="3"/>
      <c r="I124" s="3"/>
      <c r="J124" s="3"/>
      <c r="K124" s="3"/>
      <c r="L124" s="3"/>
      <c r="M124" s="3"/>
      <c r="N124" s="3"/>
      <c r="O124" s="3"/>
      <c r="P124" s="3"/>
      <c r="Q124" s="3"/>
      <c r="R124" s="3"/>
      <c r="S124" s="3"/>
      <c r="T124" s="1"/>
      <c r="U124" s="3"/>
      <c r="V124" s="3"/>
      <c r="W124" s="3"/>
      <c r="X124" s="3"/>
      <c r="Y124" s="3"/>
      <c r="Z124" s="3"/>
      <c r="AA124" s="3"/>
      <c r="AB124" s="3"/>
    </row>
    <row r="125" spans="1:28" ht="15" customHeight="1">
      <c r="A125" s="1"/>
      <c r="B125" s="3"/>
      <c r="C125" s="3"/>
      <c r="D125" s="3"/>
      <c r="E125" s="3"/>
      <c r="F125" s="3"/>
      <c r="G125" s="3"/>
      <c r="H125" s="3"/>
      <c r="I125" s="3"/>
      <c r="J125" s="3"/>
      <c r="K125" s="3"/>
      <c r="L125" s="3"/>
      <c r="M125" s="3"/>
      <c r="N125" s="3"/>
      <c r="O125" s="3"/>
      <c r="P125" s="3"/>
      <c r="Q125" s="3"/>
      <c r="R125" s="3"/>
      <c r="S125" s="3"/>
      <c r="T125" s="1"/>
      <c r="U125" s="3"/>
      <c r="V125" s="3"/>
      <c r="W125" s="3"/>
      <c r="X125" s="3"/>
      <c r="Y125" s="3"/>
      <c r="Z125" s="3"/>
      <c r="AA125" s="3"/>
      <c r="AB125" s="3"/>
    </row>
    <row r="126" spans="1:28" ht="15" customHeight="1">
      <c r="A126" s="1"/>
      <c r="B126" s="3"/>
      <c r="C126" s="3"/>
      <c r="D126" s="3"/>
      <c r="E126" s="3"/>
      <c r="F126" s="3"/>
      <c r="G126" s="3"/>
      <c r="H126" s="3"/>
      <c r="I126" s="3"/>
      <c r="J126" s="3"/>
      <c r="K126" s="3"/>
      <c r="L126" s="3"/>
      <c r="M126" s="3"/>
      <c r="N126" s="3"/>
      <c r="O126" s="3"/>
      <c r="P126" s="3"/>
      <c r="Q126" s="3"/>
      <c r="R126" s="3"/>
      <c r="S126" s="3"/>
      <c r="T126" s="1"/>
      <c r="U126" s="3"/>
      <c r="V126" s="3"/>
      <c r="W126" s="3"/>
      <c r="X126" s="3"/>
      <c r="Y126" s="3"/>
      <c r="Z126" s="3"/>
      <c r="AA126" s="3"/>
      <c r="AB126" s="3"/>
    </row>
    <row r="127" spans="1:28" ht="1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9.5" customHeight="1">
      <c r="A128" s="1"/>
      <c r="B128" s="69" t="s">
        <v>533</v>
      </c>
      <c r="C128" s="39"/>
      <c r="D128" s="39"/>
      <c r="E128" s="39"/>
      <c r="F128" s="39"/>
      <c r="G128" s="39"/>
      <c r="H128" s="39"/>
      <c r="I128" s="39"/>
      <c r="J128" s="39"/>
      <c r="K128" s="39"/>
      <c r="L128" s="39"/>
      <c r="M128" s="39"/>
      <c r="N128" s="39"/>
      <c r="O128" s="39"/>
      <c r="P128" s="39"/>
      <c r="Q128" s="39"/>
      <c r="R128" s="2"/>
      <c r="S128" s="2"/>
      <c r="T128" s="2"/>
      <c r="U128" s="2"/>
      <c r="V128" s="2"/>
      <c r="W128" s="2"/>
      <c r="X128" s="2"/>
      <c r="Y128" s="2"/>
      <c r="Z128" s="2"/>
      <c r="AA128" s="2"/>
      <c r="AB128" s="2"/>
    </row>
    <row r="129" spans="1:28" ht="6"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38" t="s">
        <v>534</v>
      </c>
      <c r="C130" s="39"/>
      <c r="D130" s="39"/>
      <c r="E130" s="39"/>
      <c r="F130" s="39"/>
      <c r="G130" s="39"/>
      <c r="H130" s="39"/>
      <c r="I130" s="39"/>
      <c r="J130" s="39"/>
      <c r="K130" s="39"/>
      <c r="L130" s="39"/>
      <c r="M130" s="39"/>
      <c r="N130" s="39"/>
      <c r="O130" s="39"/>
      <c r="P130" s="39"/>
      <c r="Q130" s="39"/>
      <c r="R130" s="89" t="str">
        <f>TEXT('KPI Engine (Final)'!K262,"#,##0")&amp;" submittals logged  ·  14 registers  ·  NCR and SOR excluded"</f>
        <v>2,215 submittals logged  ·  14 registers  ·  NCR and SOR excluded</v>
      </c>
      <c r="S130" s="39"/>
      <c r="T130" s="39"/>
      <c r="U130" s="39"/>
      <c r="V130" s="39"/>
      <c r="W130" s="39"/>
      <c r="X130" s="39"/>
      <c r="Y130" s="39"/>
      <c r="Z130" s="39"/>
      <c r="AA130" s="39"/>
      <c r="AB130" s="39"/>
    </row>
    <row r="131" spans="1:28" ht="15" customHeight="1">
      <c r="A131" s="1"/>
      <c r="B131" s="47" t="s">
        <v>535</v>
      </c>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row>
    <row r="132" spans="1:28" ht="15" customHeight="1">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5" customHeight="1">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5" customHeight="1">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5" customHeight="1">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5" customHeight="1">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5" customHeight="1">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5" customHeight="1">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5" customHeight="1">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5" customHeight="1">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5" customHeight="1">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5" customHeight="1">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5" customHeight="1">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5" customHeight="1">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5" customHeight="1">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5" customHeight="1">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5" customHeight="1">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5" customHeight="1">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5" customHeight="1">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2"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9.5" customHeight="1">
      <c r="A151" s="1"/>
      <c r="B151" s="69" t="s">
        <v>536</v>
      </c>
      <c r="C151" s="39"/>
      <c r="D151" s="39"/>
      <c r="E151" s="39"/>
      <c r="F151" s="39"/>
      <c r="G151" s="39"/>
      <c r="H151" s="39"/>
      <c r="I151" s="39"/>
      <c r="J151" s="39"/>
      <c r="K151" s="39"/>
      <c r="L151" s="39"/>
      <c r="M151" s="39"/>
      <c r="N151" s="39"/>
      <c r="O151" s="39"/>
      <c r="P151" s="39"/>
      <c r="Q151" s="39"/>
      <c r="R151" s="2"/>
      <c r="S151" s="2"/>
      <c r="T151" s="2"/>
      <c r="U151" s="2"/>
      <c r="V151" s="2"/>
      <c r="W151" s="2"/>
      <c r="X151" s="2"/>
      <c r="Y151" s="2"/>
      <c r="Z151" s="2"/>
      <c r="AA151" s="2"/>
      <c r="AB151" s="2"/>
    </row>
    <row r="152" spans="1:28" ht="15.75" customHeight="1">
      <c r="A152" s="1"/>
      <c r="B152" s="38" t="s">
        <v>46</v>
      </c>
      <c r="C152" s="39"/>
      <c r="D152" s="39"/>
      <c r="E152" s="39"/>
      <c r="F152" s="39"/>
      <c r="G152" s="39"/>
      <c r="H152" s="39"/>
      <c r="I152" s="39"/>
      <c r="J152" s="39"/>
      <c r="K152" s="39"/>
      <c r="L152" s="39"/>
      <c r="M152" s="39"/>
      <c r="N152" s="39"/>
      <c r="O152" s="1"/>
      <c r="P152" s="38" t="s">
        <v>47</v>
      </c>
      <c r="Q152" s="39"/>
      <c r="R152" s="39"/>
      <c r="S152" s="39"/>
      <c r="T152" s="39"/>
      <c r="U152" s="39"/>
      <c r="V152" s="39"/>
      <c r="W152" s="39"/>
      <c r="X152" s="39"/>
      <c r="Y152" s="39"/>
      <c r="Z152" s="39"/>
      <c r="AA152" s="39"/>
      <c r="AB152" s="39"/>
    </row>
    <row r="153" spans="1:28" ht="12" customHeight="1">
      <c r="A153" s="1"/>
      <c r="B153" s="47" t="s">
        <v>48</v>
      </c>
      <c r="C153" s="39"/>
      <c r="D153" s="39"/>
      <c r="E153" s="39"/>
      <c r="F153" s="39"/>
      <c r="G153" s="39"/>
      <c r="H153" s="39"/>
      <c r="I153" s="39"/>
      <c r="J153" s="39"/>
      <c r="K153" s="39"/>
      <c r="L153" s="39"/>
      <c r="M153" s="39"/>
      <c r="N153" s="39"/>
      <c r="O153" s="1"/>
      <c r="P153" s="47" t="s">
        <v>49</v>
      </c>
      <c r="Q153" s="39"/>
      <c r="R153" s="39"/>
      <c r="S153" s="39"/>
      <c r="T153" s="39"/>
      <c r="U153" s="39"/>
      <c r="V153" s="39"/>
      <c r="W153" s="39"/>
      <c r="X153" s="39"/>
      <c r="Y153" s="39"/>
      <c r="Z153" s="39"/>
      <c r="AA153" s="39"/>
      <c r="AB153" s="39"/>
    </row>
    <row r="154" spans="1:28" ht="15" customHeight="1">
      <c r="A154" s="1"/>
      <c r="B154" s="3"/>
      <c r="C154" s="3"/>
      <c r="D154" s="3"/>
      <c r="E154" s="3"/>
      <c r="F154" s="3"/>
      <c r="G154" s="3"/>
      <c r="H154" s="3"/>
      <c r="I154" s="3"/>
      <c r="J154" s="3"/>
      <c r="K154" s="3"/>
      <c r="L154" s="3"/>
      <c r="M154" s="3"/>
      <c r="N154" s="3"/>
      <c r="O154" s="1"/>
      <c r="P154" s="3"/>
      <c r="Q154" s="3"/>
      <c r="R154" s="3"/>
      <c r="S154" s="3"/>
      <c r="T154" s="3"/>
      <c r="U154" s="3"/>
      <c r="V154" s="3"/>
      <c r="W154" s="3"/>
      <c r="X154" s="3"/>
      <c r="Y154" s="3"/>
      <c r="Z154" s="3"/>
      <c r="AA154" s="3"/>
      <c r="AB154" s="3"/>
    </row>
    <row r="155" spans="1:28" ht="15" customHeight="1">
      <c r="A155" s="1"/>
      <c r="B155" s="3"/>
      <c r="C155" s="3"/>
      <c r="D155" s="3"/>
      <c r="E155" s="3"/>
      <c r="F155" s="3"/>
      <c r="G155" s="3"/>
      <c r="H155" s="3"/>
      <c r="I155" s="3"/>
      <c r="J155" s="3"/>
      <c r="K155" s="3"/>
      <c r="L155" s="3"/>
      <c r="M155" s="3"/>
      <c r="N155" s="3"/>
      <c r="O155" s="1"/>
      <c r="P155" s="3"/>
      <c r="Q155" s="3"/>
      <c r="R155" s="3"/>
      <c r="S155" s="3"/>
      <c r="T155" s="3"/>
      <c r="U155" s="3"/>
      <c r="V155" s="3"/>
      <c r="W155" s="3"/>
      <c r="X155" s="3"/>
      <c r="Y155" s="3"/>
      <c r="Z155" s="3"/>
      <c r="AA155" s="3"/>
      <c r="AB155" s="3"/>
    </row>
    <row r="156" spans="1:28" ht="15" customHeight="1">
      <c r="A156" s="1"/>
      <c r="B156" s="3"/>
      <c r="C156" s="3"/>
      <c r="D156" s="3"/>
      <c r="E156" s="3"/>
      <c r="F156" s="3"/>
      <c r="G156" s="3"/>
      <c r="H156" s="3"/>
      <c r="I156" s="3"/>
      <c r="J156" s="3"/>
      <c r="K156" s="3"/>
      <c r="L156" s="3"/>
      <c r="M156" s="3"/>
      <c r="N156" s="3"/>
      <c r="O156" s="1"/>
      <c r="P156" s="3"/>
      <c r="Q156" s="3"/>
      <c r="R156" s="3"/>
      <c r="S156" s="3"/>
      <c r="T156" s="3"/>
      <c r="U156" s="3"/>
      <c r="V156" s="3"/>
      <c r="W156" s="3"/>
      <c r="X156" s="3"/>
      <c r="Y156" s="3"/>
      <c r="Z156" s="3"/>
      <c r="AA156" s="3"/>
      <c r="AB156" s="3"/>
    </row>
    <row r="157" spans="1:28" ht="15" customHeight="1">
      <c r="A157" s="1"/>
      <c r="B157" s="3"/>
      <c r="C157" s="3"/>
      <c r="D157" s="3"/>
      <c r="E157" s="3"/>
      <c r="F157" s="3"/>
      <c r="G157" s="3"/>
      <c r="H157" s="3"/>
      <c r="I157" s="3"/>
      <c r="J157" s="3"/>
      <c r="K157" s="3"/>
      <c r="L157" s="3"/>
      <c r="M157" s="3"/>
      <c r="N157" s="3"/>
      <c r="O157" s="1"/>
      <c r="P157" s="3"/>
      <c r="Q157" s="3"/>
      <c r="R157" s="3"/>
      <c r="S157" s="3"/>
      <c r="T157" s="3"/>
      <c r="U157" s="3"/>
      <c r="V157" s="3"/>
      <c r="W157" s="3"/>
      <c r="X157" s="3"/>
      <c r="Y157" s="3"/>
      <c r="Z157" s="3"/>
      <c r="AA157" s="3"/>
      <c r="AB157" s="3"/>
    </row>
    <row r="158" spans="1:28" ht="15" customHeight="1">
      <c r="A158" s="1"/>
      <c r="B158" s="3"/>
      <c r="C158" s="3"/>
      <c r="D158" s="3"/>
      <c r="E158" s="3"/>
      <c r="F158" s="3"/>
      <c r="G158" s="3"/>
      <c r="H158" s="3"/>
      <c r="I158" s="3"/>
      <c r="J158" s="3"/>
      <c r="K158" s="3"/>
      <c r="L158" s="3"/>
      <c r="M158" s="3"/>
      <c r="N158" s="3"/>
      <c r="O158" s="1"/>
      <c r="P158" s="3"/>
      <c r="Q158" s="3"/>
      <c r="R158" s="3"/>
      <c r="S158" s="3"/>
      <c r="T158" s="3"/>
      <c r="U158" s="3"/>
      <c r="V158" s="3"/>
      <c r="W158" s="3"/>
      <c r="X158" s="3"/>
      <c r="Y158" s="3"/>
      <c r="Z158" s="3"/>
      <c r="AA158" s="3"/>
      <c r="AB158" s="3"/>
    </row>
    <row r="159" spans="1:28" ht="15" customHeight="1">
      <c r="A159" s="1"/>
      <c r="B159" s="3"/>
      <c r="C159" s="3"/>
      <c r="D159" s="3"/>
      <c r="E159" s="3"/>
      <c r="F159" s="3"/>
      <c r="G159" s="3"/>
      <c r="H159" s="3"/>
      <c r="I159" s="3"/>
      <c r="J159" s="3"/>
      <c r="K159" s="3"/>
      <c r="L159" s="3"/>
      <c r="M159" s="3"/>
      <c r="N159" s="3"/>
      <c r="O159" s="1"/>
      <c r="P159" s="3"/>
      <c r="Q159" s="3"/>
      <c r="R159" s="3"/>
      <c r="S159" s="3"/>
      <c r="T159" s="3"/>
      <c r="U159" s="3"/>
      <c r="V159" s="3"/>
      <c r="W159" s="3"/>
      <c r="X159" s="3"/>
      <c r="Y159" s="3"/>
      <c r="Z159" s="3"/>
      <c r="AA159" s="3"/>
      <c r="AB159" s="3"/>
    </row>
    <row r="160" spans="1:28" ht="15" customHeight="1">
      <c r="A160" s="1"/>
      <c r="B160" s="3"/>
      <c r="C160" s="3"/>
      <c r="D160" s="3"/>
      <c r="E160" s="3"/>
      <c r="F160" s="3"/>
      <c r="G160" s="3"/>
      <c r="H160" s="3"/>
      <c r="I160" s="3"/>
      <c r="J160" s="3"/>
      <c r="K160" s="3"/>
      <c r="L160" s="3"/>
      <c r="M160" s="3"/>
      <c r="N160" s="3"/>
      <c r="O160" s="1"/>
      <c r="P160" s="3"/>
      <c r="Q160" s="3"/>
      <c r="R160" s="3"/>
      <c r="S160" s="3"/>
      <c r="T160" s="3"/>
      <c r="U160" s="3"/>
      <c r="V160" s="3"/>
      <c r="W160" s="3"/>
      <c r="X160" s="3"/>
      <c r="Y160" s="3"/>
      <c r="Z160" s="3"/>
      <c r="AA160" s="3"/>
      <c r="AB160" s="3"/>
    </row>
    <row r="161" spans="1:28" ht="15" customHeight="1">
      <c r="A161" s="1"/>
      <c r="B161" s="3"/>
      <c r="C161" s="3"/>
      <c r="D161" s="3"/>
      <c r="E161" s="3"/>
      <c r="F161" s="3"/>
      <c r="G161" s="3"/>
      <c r="H161" s="3"/>
      <c r="I161" s="3"/>
      <c r="J161" s="3"/>
      <c r="K161" s="3"/>
      <c r="L161" s="3"/>
      <c r="M161" s="3"/>
      <c r="N161" s="3"/>
      <c r="O161" s="1"/>
      <c r="P161" s="3"/>
      <c r="Q161" s="3"/>
      <c r="R161" s="3"/>
      <c r="S161" s="3"/>
      <c r="T161" s="3"/>
      <c r="U161" s="3"/>
      <c r="V161" s="3"/>
      <c r="W161" s="3"/>
      <c r="X161" s="3"/>
      <c r="Y161" s="3"/>
      <c r="Z161" s="3"/>
      <c r="AA161" s="3"/>
      <c r="AB161" s="3"/>
    </row>
    <row r="162" spans="1:28" ht="15" customHeight="1">
      <c r="A162" s="1"/>
      <c r="B162" s="3"/>
      <c r="C162" s="3"/>
      <c r="D162" s="3"/>
      <c r="E162" s="3"/>
      <c r="F162" s="3"/>
      <c r="G162" s="3"/>
      <c r="H162" s="3"/>
      <c r="I162" s="3"/>
      <c r="J162" s="3"/>
      <c r="K162" s="3"/>
      <c r="L162" s="3"/>
      <c r="M162" s="3"/>
      <c r="N162" s="3"/>
      <c r="O162" s="1"/>
      <c r="P162" s="3"/>
      <c r="Q162" s="3"/>
      <c r="R162" s="3"/>
      <c r="S162" s="3"/>
      <c r="T162" s="3"/>
      <c r="U162" s="3"/>
      <c r="V162" s="3"/>
      <c r="W162" s="3"/>
      <c r="X162" s="3"/>
      <c r="Y162" s="3"/>
      <c r="Z162" s="3"/>
      <c r="AA162" s="3"/>
      <c r="AB162" s="3"/>
    </row>
    <row r="163" spans="1:28" ht="15" customHeight="1">
      <c r="A163" s="1"/>
      <c r="B163" s="3"/>
      <c r="C163" s="3"/>
      <c r="D163" s="3"/>
      <c r="E163" s="3"/>
      <c r="F163" s="3"/>
      <c r="G163" s="3"/>
      <c r="H163" s="3"/>
      <c r="I163" s="3"/>
      <c r="J163" s="3"/>
      <c r="K163" s="3"/>
      <c r="L163" s="3"/>
      <c r="M163" s="3"/>
      <c r="N163" s="3"/>
      <c r="O163" s="1"/>
      <c r="P163" s="3"/>
      <c r="Q163" s="3"/>
      <c r="R163" s="3"/>
      <c r="S163" s="3"/>
      <c r="T163" s="3"/>
      <c r="U163" s="3"/>
      <c r="V163" s="3"/>
      <c r="W163" s="3"/>
      <c r="X163" s="3"/>
      <c r="Y163" s="3"/>
      <c r="Z163" s="3"/>
      <c r="AA163" s="3"/>
      <c r="AB163" s="3"/>
    </row>
    <row r="164" spans="1:28" ht="15" customHeight="1">
      <c r="A164" s="1"/>
      <c r="B164" s="3"/>
      <c r="C164" s="3"/>
      <c r="D164" s="3"/>
      <c r="E164" s="3"/>
      <c r="F164" s="3"/>
      <c r="G164" s="3"/>
      <c r="H164" s="3"/>
      <c r="I164" s="3"/>
      <c r="J164" s="3"/>
      <c r="K164" s="3"/>
      <c r="L164" s="3"/>
      <c r="M164" s="3"/>
      <c r="N164" s="3"/>
      <c r="O164" s="1"/>
      <c r="P164" s="3"/>
      <c r="Q164" s="3"/>
      <c r="R164" s="3"/>
      <c r="S164" s="3"/>
      <c r="T164" s="3"/>
      <c r="U164" s="3"/>
      <c r="V164" s="3"/>
      <c r="W164" s="3"/>
      <c r="X164" s="3"/>
      <c r="Y164" s="3"/>
      <c r="Z164" s="3"/>
      <c r="AA164" s="3"/>
      <c r="AB164" s="3"/>
    </row>
    <row r="165" spans="1:28" ht="15" customHeight="1">
      <c r="A165" s="1"/>
      <c r="B165" s="3"/>
      <c r="C165" s="3"/>
      <c r="D165" s="3"/>
      <c r="E165" s="3"/>
      <c r="F165" s="3"/>
      <c r="G165" s="3"/>
      <c r="H165" s="3"/>
      <c r="I165" s="3"/>
      <c r="J165" s="3"/>
      <c r="K165" s="3"/>
      <c r="L165" s="3"/>
      <c r="M165" s="3"/>
      <c r="N165" s="3"/>
      <c r="O165" s="1"/>
      <c r="P165" s="3"/>
      <c r="Q165" s="3"/>
      <c r="R165" s="3"/>
      <c r="S165" s="3"/>
      <c r="T165" s="3"/>
      <c r="U165" s="3"/>
      <c r="V165" s="3"/>
      <c r="W165" s="3"/>
      <c r="X165" s="3"/>
      <c r="Y165" s="3"/>
      <c r="Z165" s="3"/>
      <c r="AA165" s="3"/>
      <c r="AB165" s="3"/>
    </row>
    <row r="166" spans="1:28" ht="15" customHeight="1">
      <c r="A166" s="1"/>
      <c r="B166" s="3"/>
      <c r="C166" s="3"/>
      <c r="D166" s="3"/>
      <c r="E166" s="3"/>
      <c r="F166" s="3"/>
      <c r="G166" s="3"/>
      <c r="H166" s="3"/>
      <c r="I166" s="3"/>
      <c r="J166" s="3"/>
      <c r="K166" s="3"/>
      <c r="L166" s="3"/>
      <c r="M166" s="3"/>
      <c r="N166" s="3"/>
      <c r="O166" s="1"/>
      <c r="P166" s="3"/>
      <c r="Q166" s="3"/>
      <c r="R166" s="3"/>
      <c r="S166" s="3"/>
      <c r="T166" s="3"/>
      <c r="U166" s="3"/>
      <c r="V166" s="3"/>
      <c r="W166" s="3"/>
      <c r="X166" s="3"/>
      <c r="Y166" s="3"/>
      <c r="Z166" s="3"/>
      <c r="AA166" s="3"/>
      <c r="AB166" s="3"/>
    </row>
    <row r="167" spans="1:28" ht="15" customHeight="1">
      <c r="A167" s="1"/>
      <c r="B167" s="3"/>
      <c r="C167" s="3"/>
      <c r="D167" s="3"/>
      <c r="E167" s="3"/>
      <c r="F167" s="3"/>
      <c r="G167" s="3"/>
      <c r="H167" s="3"/>
      <c r="I167" s="3"/>
      <c r="J167" s="3"/>
      <c r="K167" s="3"/>
      <c r="L167" s="3"/>
      <c r="M167" s="3"/>
      <c r="N167" s="3"/>
      <c r="O167" s="1"/>
      <c r="P167" s="3"/>
      <c r="Q167" s="3"/>
      <c r="R167" s="3"/>
      <c r="S167" s="3"/>
      <c r="T167" s="3"/>
      <c r="U167" s="3"/>
      <c r="V167" s="3"/>
      <c r="W167" s="3"/>
      <c r="X167" s="3"/>
      <c r="Y167" s="3"/>
      <c r="Z167" s="3"/>
      <c r="AA167" s="3"/>
      <c r="AB167" s="3"/>
    </row>
    <row r="168" spans="1:28" ht="15" customHeight="1">
      <c r="A168" s="1"/>
      <c r="B168" s="3"/>
      <c r="C168" s="3"/>
      <c r="D168" s="3"/>
      <c r="E168" s="3"/>
      <c r="F168" s="3"/>
      <c r="G168" s="3"/>
      <c r="H168" s="3"/>
      <c r="I168" s="3"/>
      <c r="J168" s="3"/>
      <c r="K168" s="3"/>
      <c r="L168" s="3"/>
      <c r="M168" s="3"/>
      <c r="N168" s="3"/>
      <c r="O168" s="1"/>
      <c r="P168" s="3"/>
      <c r="Q168" s="3"/>
      <c r="R168" s="3"/>
      <c r="S168" s="3"/>
      <c r="T168" s="3"/>
      <c r="U168" s="3"/>
      <c r="V168" s="3"/>
      <c r="W168" s="3"/>
      <c r="X168" s="3"/>
      <c r="Y168" s="3"/>
      <c r="Z168" s="3"/>
      <c r="AA168" s="3"/>
      <c r="AB168" s="3"/>
    </row>
    <row r="169" spans="1:28" ht="15" customHeight="1">
      <c r="A169" s="1"/>
      <c r="B169" s="3"/>
      <c r="C169" s="3"/>
      <c r="D169" s="3"/>
      <c r="E169" s="3"/>
      <c r="F169" s="3"/>
      <c r="G169" s="3"/>
      <c r="H169" s="3"/>
      <c r="I169" s="3"/>
      <c r="J169" s="3"/>
      <c r="K169" s="3"/>
      <c r="L169" s="3"/>
      <c r="M169" s="3"/>
      <c r="N169" s="3"/>
      <c r="O169" s="1"/>
      <c r="P169" s="3"/>
      <c r="Q169" s="3"/>
      <c r="R169" s="3"/>
      <c r="S169" s="3"/>
      <c r="T169" s="3"/>
      <c r="U169" s="3"/>
      <c r="V169" s="3"/>
      <c r="W169" s="3"/>
      <c r="X169" s="3"/>
      <c r="Y169" s="3"/>
      <c r="Z169" s="3"/>
      <c r="AA169" s="3"/>
      <c r="AB169" s="3"/>
    </row>
    <row r="170" spans="1:28" ht="1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9.5" customHeight="1">
      <c r="A171" s="1"/>
      <c r="B171" s="69" t="s">
        <v>537</v>
      </c>
      <c r="C171" s="39"/>
      <c r="D171" s="39"/>
      <c r="E171" s="39"/>
      <c r="F171" s="39"/>
      <c r="G171" s="39"/>
      <c r="H171" s="39"/>
      <c r="I171" s="39"/>
      <c r="J171" s="39"/>
      <c r="K171" s="39"/>
      <c r="L171" s="39"/>
      <c r="M171" s="39"/>
      <c r="N171" s="39"/>
      <c r="O171" s="39"/>
      <c r="P171" s="39"/>
      <c r="Q171" s="39"/>
      <c r="R171" s="2"/>
      <c r="S171" s="2"/>
      <c r="T171" s="2"/>
      <c r="U171" s="2"/>
      <c r="V171" s="2"/>
      <c r="W171" s="2"/>
      <c r="X171" s="2"/>
      <c r="Y171" s="2"/>
      <c r="Z171" s="2"/>
      <c r="AA171" s="2"/>
      <c r="AB171" s="2"/>
    </row>
    <row r="172" spans="1:28" ht="19.5" customHeight="1">
      <c r="A172" s="1"/>
      <c r="B172" s="61" t="s">
        <v>5</v>
      </c>
      <c r="C172" s="41"/>
      <c r="D172" s="41"/>
      <c r="E172" s="41"/>
      <c r="F172" s="41"/>
      <c r="G172" s="41"/>
      <c r="H172" s="41"/>
      <c r="I172" s="41"/>
      <c r="J172" s="40" t="s">
        <v>50</v>
      </c>
      <c r="K172" s="41"/>
      <c r="L172" s="40" t="s">
        <v>51</v>
      </c>
      <c r="M172" s="41"/>
      <c r="N172" s="40" t="s">
        <v>52</v>
      </c>
      <c r="O172" s="41"/>
      <c r="P172" s="40" t="s">
        <v>53</v>
      </c>
      <c r="Q172" s="41"/>
      <c r="R172" s="40" t="s">
        <v>54</v>
      </c>
      <c r="S172" s="41"/>
      <c r="T172" s="40" t="s">
        <v>55</v>
      </c>
      <c r="U172" s="41"/>
      <c r="V172" s="40" t="s">
        <v>56</v>
      </c>
      <c r="W172" s="41"/>
      <c r="X172" s="40" t="s">
        <v>9</v>
      </c>
      <c r="Y172" s="41"/>
      <c r="Z172" s="40" t="s">
        <v>8</v>
      </c>
      <c r="AA172" s="41"/>
      <c r="AB172" s="16" t="s">
        <v>3</v>
      </c>
    </row>
    <row r="173" spans="1:28" ht="16.5" customHeight="1">
      <c r="A173" s="1"/>
      <c r="B173" s="36" t="s">
        <v>57</v>
      </c>
      <c r="C173" s="35"/>
      <c r="D173" s="35"/>
      <c r="E173" s="35"/>
      <c r="F173" s="35"/>
      <c r="G173" s="35"/>
      <c r="H173" s="35"/>
      <c r="I173" s="35"/>
      <c r="J173" s="62">
        <f>'KPI Engine (Final)'!B69</f>
        <v>710</v>
      </c>
      <c r="K173" s="35"/>
      <c r="L173" s="44">
        <f>'KPI Engine (Final)'!C69</f>
        <v>53</v>
      </c>
      <c r="M173" s="35"/>
      <c r="N173" s="44">
        <f>'KPI Engine (Final)'!D69</f>
        <v>567</v>
      </c>
      <c r="O173" s="35"/>
      <c r="P173" s="44">
        <f>'KPI Engine (Final)'!E69</f>
        <v>2</v>
      </c>
      <c r="Q173" s="35"/>
      <c r="R173" s="44">
        <f>'KPI Engine (Final)'!F69</f>
        <v>0</v>
      </c>
      <c r="S173" s="35"/>
      <c r="T173" s="44">
        <f>'KPI Engine (Final)'!G69</f>
        <v>3</v>
      </c>
      <c r="U173" s="35"/>
      <c r="V173" s="44">
        <f>'KPI Engine (Final)'!H69</f>
        <v>53</v>
      </c>
      <c r="W173" s="35"/>
      <c r="X173" s="44">
        <f>'KPI Engine (Final)'!I69</f>
        <v>21</v>
      </c>
      <c r="Y173" s="35"/>
      <c r="Z173" s="50">
        <f>'KPI Engine (Final)'!J69</f>
        <v>11</v>
      </c>
      <c r="AA173" s="35"/>
      <c r="AB173" s="20">
        <f>'KPI Engine (Final)'!K69</f>
        <v>620</v>
      </c>
    </row>
    <row r="174" spans="1:28" ht="16.5" customHeight="1">
      <c r="A174" s="1"/>
      <c r="B174" s="60" t="s">
        <v>58</v>
      </c>
      <c r="C174" s="35"/>
      <c r="D174" s="35"/>
      <c r="E174" s="35"/>
      <c r="F174" s="35"/>
      <c r="G174" s="35"/>
      <c r="H174" s="35"/>
      <c r="I174" s="35"/>
      <c r="J174" s="37">
        <f>'KPI Engine (Final)'!B70</f>
        <v>205</v>
      </c>
      <c r="K174" s="35"/>
      <c r="L174" s="43">
        <f>'KPI Engine (Final)'!C70</f>
        <v>0</v>
      </c>
      <c r="M174" s="35"/>
      <c r="N174" s="43">
        <f>'KPI Engine (Final)'!D70</f>
        <v>183</v>
      </c>
      <c r="O174" s="35"/>
      <c r="P174" s="43">
        <f>'KPI Engine (Final)'!E70</f>
        <v>1</v>
      </c>
      <c r="Q174" s="35"/>
      <c r="R174" s="43">
        <f>'KPI Engine (Final)'!F70</f>
        <v>0</v>
      </c>
      <c r="S174" s="35"/>
      <c r="T174" s="43">
        <f>'KPI Engine (Final)'!G70</f>
        <v>0</v>
      </c>
      <c r="U174" s="35"/>
      <c r="V174" s="43">
        <f>'KPI Engine (Final)'!H70</f>
        <v>7</v>
      </c>
      <c r="W174" s="35"/>
      <c r="X174" s="43">
        <f>'KPI Engine (Final)'!I70</f>
        <v>12</v>
      </c>
      <c r="Y174" s="35"/>
      <c r="Z174" s="42">
        <f>'KPI Engine (Final)'!J70</f>
        <v>2</v>
      </c>
      <c r="AA174" s="35"/>
      <c r="AB174" s="23">
        <f>'KPI Engine (Final)'!K70</f>
        <v>183</v>
      </c>
    </row>
    <row r="175" spans="1:28" ht="16.5" customHeight="1">
      <c r="A175" s="1"/>
      <c r="B175" s="36" t="s">
        <v>16</v>
      </c>
      <c r="C175" s="35"/>
      <c r="D175" s="35"/>
      <c r="E175" s="35"/>
      <c r="F175" s="35"/>
      <c r="G175" s="35"/>
      <c r="H175" s="35"/>
      <c r="I175" s="35"/>
      <c r="J175" s="62">
        <f>'KPI Engine (Final)'!B71</f>
        <v>524</v>
      </c>
      <c r="K175" s="35"/>
      <c r="L175" s="44">
        <f>'KPI Engine (Final)'!C71</f>
        <v>115</v>
      </c>
      <c r="M175" s="35"/>
      <c r="N175" s="44">
        <f>'KPI Engine (Final)'!D71</f>
        <v>317</v>
      </c>
      <c r="O175" s="35"/>
      <c r="P175" s="44">
        <f>'KPI Engine (Final)'!E71</f>
        <v>4</v>
      </c>
      <c r="Q175" s="35"/>
      <c r="R175" s="44">
        <f>'KPI Engine (Final)'!F71</f>
        <v>0</v>
      </c>
      <c r="S175" s="35"/>
      <c r="T175" s="44">
        <f>'KPI Engine (Final)'!G71</f>
        <v>0</v>
      </c>
      <c r="U175" s="35"/>
      <c r="V175" s="44">
        <f>'KPI Engine (Final)'!H71</f>
        <v>26</v>
      </c>
      <c r="W175" s="35"/>
      <c r="X175" s="44">
        <f>'KPI Engine (Final)'!I71</f>
        <v>40</v>
      </c>
      <c r="Y175" s="35"/>
      <c r="Z175" s="50">
        <f>'KPI Engine (Final)'!J71</f>
        <v>22</v>
      </c>
      <c r="AA175" s="35"/>
      <c r="AB175" s="20">
        <f>'KPI Engine (Final)'!K71</f>
        <v>432</v>
      </c>
    </row>
    <row r="176" spans="1:28" ht="16.5" customHeight="1">
      <c r="A176" s="1"/>
      <c r="B176" s="60" t="s">
        <v>59</v>
      </c>
      <c r="C176" s="35"/>
      <c r="D176" s="35"/>
      <c r="E176" s="35"/>
      <c r="F176" s="35"/>
      <c r="G176" s="35"/>
      <c r="H176" s="35"/>
      <c r="I176" s="35"/>
      <c r="J176" s="37">
        <f>'KPI Engine (Final)'!B72</f>
        <v>137</v>
      </c>
      <c r="K176" s="35"/>
      <c r="L176" s="43">
        <f>'KPI Engine (Final)'!C72</f>
        <v>0</v>
      </c>
      <c r="M176" s="35"/>
      <c r="N176" s="43">
        <f>'KPI Engine (Final)'!D72</f>
        <v>0</v>
      </c>
      <c r="O176" s="35"/>
      <c r="P176" s="43">
        <f>'KPI Engine (Final)'!E72</f>
        <v>0</v>
      </c>
      <c r="Q176" s="35"/>
      <c r="R176" s="43">
        <f>'KPI Engine (Final)'!F72</f>
        <v>0</v>
      </c>
      <c r="S176" s="35"/>
      <c r="T176" s="43">
        <f>'KPI Engine (Final)'!G72</f>
        <v>0</v>
      </c>
      <c r="U176" s="35"/>
      <c r="V176" s="43">
        <f>'KPI Engine (Final)'!H72</f>
        <v>5</v>
      </c>
      <c r="W176" s="35"/>
      <c r="X176" s="43">
        <f>'KPI Engine (Final)'!I72</f>
        <v>19</v>
      </c>
      <c r="Y176" s="35"/>
      <c r="Z176" s="42">
        <f>'KPI Engine (Final)'!J72</f>
        <v>4</v>
      </c>
      <c r="AA176" s="35"/>
      <c r="AB176" s="23">
        <f>'KPI Engine (Final)'!K72</f>
        <v>109</v>
      </c>
    </row>
    <row r="177" spans="1:28" ht="16.5" customHeight="1">
      <c r="A177" s="1"/>
      <c r="B177" s="36" t="s">
        <v>60</v>
      </c>
      <c r="C177" s="35"/>
      <c r="D177" s="35"/>
      <c r="E177" s="35"/>
      <c r="F177" s="35"/>
      <c r="G177" s="35"/>
      <c r="H177" s="35"/>
      <c r="I177" s="35"/>
      <c r="J177" s="62">
        <f>'KPI Engine (Final)'!B73</f>
        <v>157</v>
      </c>
      <c r="K177" s="35"/>
      <c r="L177" s="44">
        <f>'KPI Engine (Final)'!C73</f>
        <v>0</v>
      </c>
      <c r="M177" s="35"/>
      <c r="N177" s="44">
        <f>'KPI Engine (Final)'!D73</f>
        <v>91</v>
      </c>
      <c r="O177" s="35"/>
      <c r="P177" s="44">
        <f>'KPI Engine (Final)'!E73</f>
        <v>6</v>
      </c>
      <c r="Q177" s="35"/>
      <c r="R177" s="44">
        <f>'KPI Engine (Final)'!F73</f>
        <v>0</v>
      </c>
      <c r="S177" s="35"/>
      <c r="T177" s="44">
        <f>'KPI Engine (Final)'!G73</f>
        <v>0</v>
      </c>
      <c r="U177" s="35"/>
      <c r="V177" s="44">
        <f>'KPI Engine (Final)'!H73</f>
        <v>37</v>
      </c>
      <c r="W177" s="35"/>
      <c r="X177" s="44">
        <f>'KPI Engine (Final)'!I73</f>
        <v>18</v>
      </c>
      <c r="Y177" s="35"/>
      <c r="Z177" s="50">
        <f>'KPI Engine (Final)'!J73</f>
        <v>5</v>
      </c>
      <c r="AA177" s="35"/>
      <c r="AB177" s="20">
        <f>'KPI Engine (Final)'!K73</f>
        <v>91</v>
      </c>
    </row>
    <row r="178" spans="1:28" ht="16.5" customHeight="1">
      <c r="A178" s="1"/>
      <c r="B178" s="60" t="s">
        <v>61</v>
      </c>
      <c r="C178" s="35"/>
      <c r="D178" s="35"/>
      <c r="E178" s="35"/>
      <c r="F178" s="35"/>
      <c r="G178" s="35"/>
      <c r="H178" s="35"/>
      <c r="I178" s="35"/>
      <c r="J178" s="37">
        <f>'KPI Engine (Final)'!B74</f>
        <v>110</v>
      </c>
      <c r="K178" s="35"/>
      <c r="L178" s="43">
        <f>'KPI Engine (Final)'!C74</f>
        <v>3</v>
      </c>
      <c r="M178" s="35"/>
      <c r="N178" s="43">
        <f>'KPI Engine (Final)'!D74</f>
        <v>80</v>
      </c>
      <c r="O178" s="35"/>
      <c r="P178" s="43">
        <f>'KPI Engine (Final)'!E74</f>
        <v>2</v>
      </c>
      <c r="Q178" s="35"/>
      <c r="R178" s="43">
        <f>'KPI Engine (Final)'!F74</f>
        <v>0</v>
      </c>
      <c r="S178" s="35"/>
      <c r="T178" s="43">
        <f>'KPI Engine (Final)'!G74</f>
        <v>1</v>
      </c>
      <c r="U178" s="35"/>
      <c r="V178" s="43">
        <f>'KPI Engine (Final)'!H74</f>
        <v>14</v>
      </c>
      <c r="W178" s="35"/>
      <c r="X178" s="43">
        <f>'KPI Engine (Final)'!I74</f>
        <v>9</v>
      </c>
      <c r="Y178" s="35"/>
      <c r="Z178" s="42">
        <f>'KPI Engine (Final)'!J74</f>
        <v>1</v>
      </c>
      <c r="AA178" s="35"/>
      <c r="AB178" s="23">
        <f>'KPI Engine (Final)'!K74</f>
        <v>83</v>
      </c>
    </row>
    <row r="179" spans="1:28" ht="16.5" customHeight="1">
      <c r="A179" s="1"/>
      <c r="B179" s="36" t="s">
        <v>62</v>
      </c>
      <c r="C179" s="35"/>
      <c r="D179" s="35"/>
      <c r="E179" s="35"/>
      <c r="F179" s="35"/>
      <c r="G179" s="35"/>
      <c r="H179" s="35"/>
      <c r="I179" s="35"/>
      <c r="J179" s="62">
        <f>'KPI Engine (Final)'!B75</f>
        <v>149</v>
      </c>
      <c r="K179" s="35"/>
      <c r="L179" s="44">
        <f>'KPI Engine (Final)'!C75</f>
        <v>23</v>
      </c>
      <c r="M179" s="35"/>
      <c r="N179" s="44">
        <f>'KPI Engine (Final)'!D75</f>
        <v>96</v>
      </c>
      <c r="O179" s="35"/>
      <c r="P179" s="44">
        <f>'KPI Engine (Final)'!E75</f>
        <v>2</v>
      </c>
      <c r="Q179" s="35"/>
      <c r="R179" s="44">
        <f>'KPI Engine (Final)'!F75</f>
        <v>0</v>
      </c>
      <c r="S179" s="35"/>
      <c r="T179" s="44">
        <f>'KPI Engine (Final)'!G75</f>
        <v>0</v>
      </c>
      <c r="U179" s="35"/>
      <c r="V179" s="44">
        <f>'KPI Engine (Final)'!H75</f>
        <v>15</v>
      </c>
      <c r="W179" s="35"/>
      <c r="X179" s="44">
        <f>'KPI Engine (Final)'!I75</f>
        <v>11</v>
      </c>
      <c r="Y179" s="35"/>
      <c r="Z179" s="50">
        <f>'KPI Engine (Final)'!J75</f>
        <v>2</v>
      </c>
      <c r="AA179" s="35"/>
      <c r="AB179" s="20">
        <f>'KPI Engine (Final)'!K75</f>
        <v>119</v>
      </c>
    </row>
    <row r="180" spans="1:28" ht="16.5" customHeight="1">
      <c r="A180" s="1"/>
      <c r="B180" s="60" t="s">
        <v>63</v>
      </c>
      <c r="C180" s="35"/>
      <c r="D180" s="35"/>
      <c r="E180" s="35"/>
      <c r="F180" s="35"/>
      <c r="G180" s="35"/>
      <c r="H180" s="35"/>
      <c r="I180" s="35"/>
      <c r="J180" s="37">
        <f>'KPI Engine (Final)'!B76</f>
        <v>86</v>
      </c>
      <c r="K180" s="35"/>
      <c r="L180" s="43">
        <f>'KPI Engine (Final)'!C76</f>
        <v>6</v>
      </c>
      <c r="M180" s="35"/>
      <c r="N180" s="43">
        <f>'KPI Engine (Final)'!D76</f>
        <v>68</v>
      </c>
      <c r="O180" s="35"/>
      <c r="P180" s="43">
        <f>'KPI Engine (Final)'!E76</f>
        <v>0</v>
      </c>
      <c r="Q180" s="35"/>
      <c r="R180" s="43">
        <f>'KPI Engine (Final)'!F76</f>
        <v>0</v>
      </c>
      <c r="S180" s="35"/>
      <c r="T180" s="43">
        <f>'KPI Engine (Final)'!G76</f>
        <v>0</v>
      </c>
      <c r="U180" s="35"/>
      <c r="V180" s="43">
        <f>'KPI Engine (Final)'!H76</f>
        <v>4</v>
      </c>
      <c r="W180" s="35"/>
      <c r="X180" s="43">
        <f>'KPI Engine (Final)'!I76</f>
        <v>4</v>
      </c>
      <c r="Y180" s="35"/>
      <c r="Z180" s="42">
        <f>'KPI Engine (Final)'!J76</f>
        <v>4</v>
      </c>
      <c r="AA180" s="35"/>
      <c r="AB180" s="23">
        <f>'KPI Engine (Final)'!K76</f>
        <v>74</v>
      </c>
    </row>
    <row r="181" spans="1:28" ht="16.5" customHeight="1">
      <c r="A181" s="1"/>
      <c r="B181" s="36" t="s">
        <v>64</v>
      </c>
      <c r="C181" s="35"/>
      <c r="D181" s="35"/>
      <c r="E181" s="35"/>
      <c r="F181" s="35"/>
      <c r="G181" s="35"/>
      <c r="H181" s="35"/>
      <c r="I181" s="35"/>
      <c r="J181" s="62">
        <f>'KPI Engine (Final)'!B77</f>
        <v>37</v>
      </c>
      <c r="K181" s="35"/>
      <c r="L181" s="44">
        <f>'KPI Engine (Final)'!C77</f>
        <v>0</v>
      </c>
      <c r="M181" s="35"/>
      <c r="N181" s="44">
        <f>'KPI Engine (Final)'!D77</f>
        <v>31</v>
      </c>
      <c r="O181" s="35"/>
      <c r="P181" s="44">
        <f>'KPI Engine (Final)'!E77</f>
        <v>1</v>
      </c>
      <c r="Q181" s="35"/>
      <c r="R181" s="44">
        <f>'KPI Engine (Final)'!F77</f>
        <v>0</v>
      </c>
      <c r="S181" s="35"/>
      <c r="T181" s="44">
        <f>'KPI Engine (Final)'!G77</f>
        <v>0</v>
      </c>
      <c r="U181" s="35"/>
      <c r="V181" s="44">
        <f>'KPI Engine (Final)'!H77</f>
        <v>3</v>
      </c>
      <c r="W181" s="35"/>
      <c r="X181" s="44">
        <f>'KPI Engine (Final)'!I77</f>
        <v>2</v>
      </c>
      <c r="Y181" s="35"/>
      <c r="Z181" s="50">
        <f>'KPI Engine (Final)'!J77</f>
        <v>0</v>
      </c>
      <c r="AA181" s="35"/>
      <c r="AB181" s="20">
        <f>'KPI Engine (Final)'!K77</f>
        <v>31</v>
      </c>
    </row>
    <row r="182" spans="1:28" ht="16.5" customHeight="1">
      <c r="A182" s="1"/>
      <c r="B182" s="60" t="s">
        <v>65</v>
      </c>
      <c r="C182" s="35"/>
      <c r="D182" s="35"/>
      <c r="E182" s="35"/>
      <c r="F182" s="35"/>
      <c r="G182" s="35"/>
      <c r="H182" s="35"/>
      <c r="I182" s="35"/>
      <c r="J182" s="37">
        <f>'KPI Engine (Final)'!B78</f>
        <v>16</v>
      </c>
      <c r="K182" s="35"/>
      <c r="L182" s="43">
        <f>'KPI Engine (Final)'!C78</f>
        <v>0</v>
      </c>
      <c r="M182" s="35"/>
      <c r="N182" s="43">
        <f>'KPI Engine (Final)'!D78</f>
        <v>14</v>
      </c>
      <c r="O182" s="35"/>
      <c r="P182" s="43">
        <f>'KPI Engine (Final)'!E78</f>
        <v>0</v>
      </c>
      <c r="Q182" s="35"/>
      <c r="R182" s="43">
        <f>'KPI Engine (Final)'!F78</f>
        <v>0</v>
      </c>
      <c r="S182" s="35"/>
      <c r="T182" s="43">
        <f>'KPI Engine (Final)'!G78</f>
        <v>0</v>
      </c>
      <c r="U182" s="35"/>
      <c r="V182" s="43">
        <f>'KPI Engine (Final)'!H78</f>
        <v>2</v>
      </c>
      <c r="W182" s="35"/>
      <c r="X182" s="43">
        <f>'KPI Engine (Final)'!I78</f>
        <v>0</v>
      </c>
      <c r="Y182" s="35"/>
      <c r="Z182" s="42">
        <f>'KPI Engine (Final)'!J78</f>
        <v>0</v>
      </c>
      <c r="AA182" s="35"/>
      <c r="AB182" s="23">
        <f>'KPI Engine (Final)'!K78</f>
        <v>14</v>
      </c>
    </row>
    <row r="183" spans="1:28" ht="16.5" customHeight="1">
      <c r="A183" s="1"/>
      <c r="B183" s="36" t="s">
        <v>66</v>
      </c>
      <c r="C183" s="35"/>
      <c r="D183" s="35"/>
      <c r="E183" s="35"/>
      <c r="F183" s="35"/>
      <c r="G183" s="35"/>
      <c r="H183" s="35"/>
      <c r="I183" s="35"/>
      <c r="J183" s="62">
        <f>'KPI Engine (Final)'!B79</f>
        <v>29</v>
      </c>
      <c r="K183" s="35"/>
      <c r="L183" s="44">
        <f>'KPI Engine (Final)'!C79</f>
        <v>2</v>
      </c>
      <c r="M183" s="35"/>
      <c r="N183" s="44">
        <f>'KPI Engine (Final)'!D79</f>
        <v>19</v>
      </c>
      <c r="O183" s="35"/>
      <c r="P183" s="44">
        <f>'KPI Engine (Final)'!E79</f>
        <v>1</v>
      </c>
      <c r="Q183" s="35"/>
      <c r="R183" s="44">
        <f>'KPI Engine (Final)'!F79</f>
        <v>0</v>
      </c>
      <c r="S183" s="35"/>
      <c r="T183" s="44">
        <f>'KPI Engine (Final)'!G79</f>
        <v>0</v>
      </c>
      <c r="U183" s="35"/>
      <c r="V183" s="44">
        <f>'KPI Engine (Final)'!H79</f>
        <v>7</v>
      </c>
      <c r="W183" s="35"/>
      <c r="X183" s="44">
        <f>'KPI Engine (Final)'!I79</f>
        <v>0</v>
      </c>
      <c r="Y183" s="35"/>
      <c r="Z183" s="50">
        <f>'KPI Engine (Final)'!J79</f>
        <v>0</v>
      </c>
      <c r="AA183" s="35"/>
      <c r="AB183" s="20">
        <f>'KPI Engine (Final)'!K79</f>
        <v>21</v>
      </c>
    </row>
    <row r="184" spans="1:28" ht="16.5" customHeight="1">
      <c r="A184" s="1"/>
      <c r="B184" s="60" t="s">
        <v>67</v>
      </c>
      <c r="C184" s="35"/>
      <c r="D184" s="35"/>
      <c r="E184" s="35"/>
      <c r="F184" s="35"/>
      <c r="G184" s="35"/>
      <c r="H184" s="35"/>
      <c r="I184" s="35"/>
      <c r="J184" s="37">
        <f>'KPI Engine (Final)'!B80</f>
        <v>32</v>
      </c>
      <c r="K184" s="35"/>
      <c r="L184" s="43">
        <f>'KPI Engine (Final)'!C80</f>
        <v>0</v>
      </c>
      <c r="M184" s="35"/>
      <c r="N184" s="43">
        <f>'KPI Engine (Final)'!D80</f>
        <v>19</v>
      </c>
      <c r="O184" s="35"/>
      <c r="P184" s="43">
        <f>'KPI Engine (Final)'!E80</f>
        <v>1</v>
      </c>
      <c r="Q184" s="35"/>
      <c r="R184" s="43">
        <f>'KPI Engine (Final)'!F80</f>
        <v>4</v>
      </c>
      <c r="S184" s="35"/>
      <c r="T184" s="43">
        <f>'KPI Engine (Final)'!G80</f>
        <v>0</v>
      </c>
      <c r="U184" s="35"/>
      <c r="V184" s="43">
        <f>'KPI Engine (Final)'!H80</f>
        <v>6</v>
      </c>
      <c r="W184" s="35"/>
      <c r="X184" s="43">
        <f>'KPI Engine (Final)'!I80</f>
        <v>1</v>
      </c>
      <c r="Y184" s="35"/>
      <c r="Z184" s="42">
        <f>'KPI Engine (Final)'!J80</f>
        <v>1</v>
      </c>
      <c r="AA184" s="35"/>
      <c r="AB184" s="23">
        <f>'KPI Engine (Final)'!K80</f>
        <v>19</v>
      </c>
    </row>
    <row r="185" spans="1:28" ht="16.5" customHeight="1">
      <c r="A185" s="1"/>
      <c r="B185" s="36" t="s">
        <v>68</v>
      </c>
      <c r="C185" s="35"/>
      <c r="D185" s="35"/>
      <c r="E185" s="35"/>
      <c r="F185" s="35"/>
      <c r="G185" s="35"/>
      <c r="H185" s="35"/>
      <c r="I185" s="35"/>
      <c r="J185" s="62">
        <f>'KPI Engine (Final)'!B81</f>
        <v>9</v>
      </c>
      <c r="K185" s="35"/>
      <c r="L185" s="44">
        <f>'KPI Engine (Final)'!C81</f>
        <v>0</v>
      </c>
      <c r="M185" s="35"/>
      <c r="N185" s="44">
        <f>'KPI Engine (Final)'!D81</f>
        <v>5</v>
      </c>
      <c r="O185" s="35"/>
      <c r="P185" s="44">
        <f>'KPI Engine (Final)'!E81</f>
        <v>0</v>
      </c>
      <c r="Q185" s="35"/>
      <c r="R185" s="44">
        <f>'KPI Engine (Final)'!F81</f>
        <v>0</v>
      </c>
      <c r="S185" s="35"/>
      <c r="T185" s="44">
        <f>'KPI Engine (Final)'!G81</f>
        <v>0</v>
      </c>
      <c r="U185" s="35"/>
      <c r="V185" s="44">
        <f>'KPI Engine (Final)'!H81</f>
        <v>1</v>
      </c>
      <c r="W185" s="35"/>
      <c r="X185" s="44">
        <f>'KPI Engine (Final)'!I81</f>
        <v>3</v>
      </c>
      <c r="Y185" s="35"/>
      <c r="Z185" s="50">
        <f>'KPI Engine (Final)'!J81</f>
        <v>0</v>
      </c>
      <c r="AA185" s="35"/>
      <c r="AB185" s="20">
        <f>'KPI Engine (Final)'!K81</f>
        <v>5</v>
      </c>
    </row>
    <row r="186" spans="1:28" ht="16.5" customHeight="1">
      <c r="A186" s="1"/>
      <c r="B186" s="60" t="s">
        <v>69</v>
      </c>
      <c r="C186" s="35"/>
      <c r="D186" s="35"/>
      <c r="E186" s="35"/>
      <c r="F186" s="35"/>
      <c r="G186" s="35"/>
      <c r="H186" s="35"/>
      <c r="I186" s="35"/>
      <c r="J186" s="37">
        <f>'KPI Engine (Final)'!B82</f>
        <v>14</v>
      </c>
      <c r="K186" s="35"/>
      <c r="L186" s="43">
        <f>'KPI Engine (Final)'!C82</f>
        <v>0</v>
      </c>
      <c r="M186" s="35"/>
      <c r="N186" s="43">
        <f>'KPI Engine (Final)'!D82</f>
        <v>4</v>
      </c>
      <c r="O186" s="35"/>
      <c r="P186" s="43">
        <f>'KPI Engine (Final)'!E82</f>
        <v>0</v>
      </c>
      <c r="Q186" s="35"/>
      <c r="R186" s="43">
        <f>'KPI Engine (Final)'!F82</f>
        <v>8</v>
      </c>
      <c r="S186" s="35"/>
      <c r="T186" s="43">
        <f>'KPI Engine (Final)'!G82</f>
        <v>0</v>
      </c>
      <c r="U186" s="35"/>
      <c r="V186" s="43">
        <f>'KPI Engine (Final)'!H82</f>
        <v>0</v>
      </c>
      <c r="W186" s="35"/>
      <c r="X186" s="43">
        <f>'KPI Engine (Final)'!I82</f>
        <v>0</v>
      </c>
      <c r="Y186" s="35"/>
      <c r="Z186" s="42">
        <f>'KPI Engine (Final)'!J82</f>
        <v>2</v>
      </c>
      <c r="AA186" s="35"/>
      <c r="AB186" s="23">
        <f>'KPI Engine (Final)'!K82</f>
        <v>4</v>
      </c>
    </row>
    <row r="187" spans="1:28" ht="16.5" customHeight="1">
      <c r="A187" s="1"/>
      <c r="B187" s="36" t="s">
        <v>70</v>
      </c>
      <c r="C187" s="35"/>
      <c r="D187" s="35"/>
      <c r="E187" s="35"/>
      <c r="F187" s="35"/>
      <c r="G187" s="35"/>
      <c r="H187" s="35"/>
      <c r="I187" s="35"/>
      <c r="J187" s="62">
        <f>'KPI Engine (Final)'!B83</f>
        <v>3</v>
      </c>
      <c r="K187" s="35"/>
      <c r="L187" s="44">
        <f>'KPI Engine (Final)'!C83</f>
        <v>0</v>
      </c>
      <c r="M187" s="35"/>
      <c r="N187" s="44">
        <f>'KPI Engine (Final)'!D83</f>
        <v>0</v>
      </c>
      <c r="O187" s="35"/>
      <c r="P187" s="44">
        <f>'KPI Engine (Final)'!E83</f>
        <v>0</v>
      </c>
      <c r="Q187" s="35"/>
      <c r="R187" s="44">
        <f>'KPI Engine (Final)'!F83</f>
        <v>0</v>
      </c>
      <c r="S187" s="35"/>
      <c r="T187" s="44">
        <f>'KPI Engine (Final)'!G83</f>
        <v>0</v>
      </c>
      <c r="U187" s="35"/>
      <c r="V187" s="44">
        <f>'KPI Engine (Final)'!H83</f>
        <v>0</v>
      </c>
      <c r="W187" s="35"/>
      <c r="X187" s="44">
        <f>'KPI Engine (Final)'!I83</f>
        <v>0</v>
      </c>
      <c r="Y187" s="35"/>
      <c r="Z187" s="50">
        <f>'KPI Engine (Final)'!J83</f>
        <v>2</v>
      </c>
      <c r="AA187" s="35"/>
      <c r="AB187" s="20">
        <f>'KPI Engine (Final)'!K83</f>
        <v>1</v>
      </c>
    </row>
    <row r="188" spans="1:28" ht="16.5" customHeight="1">
      <c r="A188" s="1"/>
      <c r="B188" s="60" t="s">
        <v>71</v>
      </c>
      <c r="C188" s="35"/>
      <c r="D188" s="35"/>
      <c r="E188" s="35"/>
      <c r="F188" s="35"/>
      <c r="G188" s="35"/>
      <c r="H188" s="35"/>
      <c r="I188" s="35"/>
      <c r="J188" s="37">
        <f>'KPI Engine (Final)'!B84</f>
        <v>6</v>
      </c>
      <c r="K188" s="35"/>
      <c r="L188" s="43">
        <f>'KPI Engine (Final)'!C84</f>
        <v>0</v>
      </c>
      <c r="M188" s="35"/>
      <c r="N188" s="43">
        <f>'KPI Engine (Final)'!D84</f>
        <v>0</v>
      </c>
      <c r="O188" s="35"/>
      <c r="P188" s="43">
        <f>'KPI Engine (Final)'!E84</f>
        <v>0</v>
      </c>
      <c r="Q188" s="35"/>
      <c r="R188" s="43">
        <f>'KPI Engine (Final)'!F84</f>
        <v>0</v>
      </c>
      <c r="S188" s="35"/>
      <c r="T188" s="43">
        <f>'KPI Engine (Final)'!G84</f>
        <v>0</v>
      </c>
      <c r="U188" s="35"/>
      <c r="V188" s="43">
        <f>'KPI Engine (Final)'!H84</f>
        <v>0</v>
      </c>
      <c r="W188" s="35"/>
      <c r="X188" s="43">
        <f>'KPI Engine (Final)'!I84</f>
        <v>0</v>
      </c>
      <c r="Y188" s="35"/>
      <c r="Z188" s="42">
        <f>'KPI Engine (Final)'!J84</f>
        <v>6</v>
      </c>
      <c r="AA188" s="35"/>
      <c r="AB188" s="23">
        <f>'KPI Engine (Final)'!K84</f>
        <v>0</v>
      </c>
    </row>
    <row r="189" spans="1:28" ht="16.5" customHeight="1">
      <c r="A189" s="1"/>
      <c r="B189" s="36" t="s">
        <v>72</v>
      </c>
      <c r="C189" s="35"/>
      <c r="D189" s="35"/>
      <c r="E189" s="35"/>
      <c r="F189" s="35"/>
      <c r="G189" s="35"/>
      <c r="H189" s="35"/>
      <c r="I189" s="35"/>
      <c r="J189" s="62">
        <f>'KPI Engine (Final)'!B85</f>
        <v>37</v>
      </c>
      <c r="K189" s="35"/>
      <c r="L189" s="44">
        <f>'KPI Engine (Final)'!C85</f>
        <v>0</v>
      </c>
      <c r="M189" s="35"/>
      <c r="N189" s="44">
        <f>'KPI Engine (Final)'!D85</f>
        <v>0</v>
      </c>
      <c r="O189" s="35"/>
      <c r="P189" s="44">
        <f>'KPI Engine (Final)'!E85</f>
        <v>0</v>
      </c>
      <c r="Q189" s="35"/>
      <c r="R189" s="44">
        <f>'KPI Engine (Final)'!F85</f>
        <v>0</v>
      </c>
      <c r="S189" s="35"/>
      <c r="T189" s="44">
        <f>'KPI Engine (Final)'!G85</f>
        <v>0</v>
      </c>
      <c r="U189" s="35"/>
      <c r="V189" s="44">
        <f>'KPI Engine (Final)'!H85</f>
        <v>0</v>
      </c>
      <c r="W189" s="35"/>
      <c r="X189" s="44">
        <f>'KPI Engine (Final)'!I85</f>
        <v>0</v>
      </c>
      <c r="Y189" s="35"/>
      <c r="Z189" s="50">
        <f>'KPI Engine (Final)'!J85</f>
        <v>37</v>
      </c>
      <c r="AA189" s="35"/>
      <c r="AB189" s="20">
        <f>'KPI Engine (Final)'!K85</f>
        <v>0</v>
      </c>
    </row>
    <row r="190" spans="1:28" ht="16.5" customHeight="1">
      <c r="A190" s="1"/>
      <c r="B190" s="60" t="s">
        <v>73</v>
      </c>
      <c r="C190" s="35"/>
      <c r="D190" s="35"/>
      <c r="E190" s="35"/>
      <c r="F190" s="35"/>
      <c r="G190" s="35"/>
      <c r="H190" s="35"/>
      <c r="I190" s="35"/>
      <c r="J190" s="37">
        <f>'KPI Engine (Final)'!B86</f>
        <v>28</v>
      </c>
      <c r="K190" s="35"/>
      <c r="L190" s="43">
        <f>'KPI Engine (Final)'!C86</f>
        <v>0</v>
      </c>
      <c r="M190" s="35"/>
      <c r="N190" s="43">
        <f>'KPI Engine (Final)'!D86</f>
        <v>0</v>
      </c>
      <c r="O190" s="35"/>
      <c r="P190" s="43">
        <f>'KPI Engine (Final)'!E86</f>
        <v>0</v>
      </c>
      <c r="Q190" s="35"/>
      <c r="R190" s="43">
        <f>'KPI Engine (Final)'!F86</f>
        <v>0</v>
      </c>
      <c r="S190" s="35"/>
      <c r="T190" s="43">
        <f>'KPI Engine (Final)'!G86</f>
        <v>0</v>
      </c>
      <c r="U190" s="35"/>
      <c r="V190" s="43">
        <f>'KPI Engine (Final)'!H86</f>
        <v>0</v>
      </c>
      <c r="W190" s="35"/>
      <c r="X190" s="43">
        <f>'KPI Engine (Final)'!I86</f>
        <v>1</v>
      </c>
      <c r="Y190" s="35"/>
      <c r="Z190" s="42">
        <f>'KPI Engine (Final)'!J86</f>
        <v>7</v>
      </c>
      <c r="AA190" s="35"/>
      <c r="AB190" s="23">
        <f>'KPI Engine (Final)'!K86</f>
        <v>20</v>
      </c>
    </row>
    <row r="191" spans="1:28" ht="16.5" customHeight="1">
      <c r="A191" s="1"/>
      <c r="B191" s="36" t="s">
        <v>74</v>
      </c>
      <c r="C191" s="35"/>
      <c r="D191" s="35"/>
      <c r="E191" s="35"/>
      <c r="F191" s="35"/>
      <c r="G191" s="35"/>
      <c r="H191" s="35"/>
      <c r="I191" s="35"/>
      <c r="J191" s="62">
        <f>'KPI Engine (Final)'!B87</f>
        <v>163</v>
      </c>
      <c r="K191" s="35"/>
      <c r="L191" s="44">
        <f>'KPI Engine (Final)'!C87</f>
        <v>0</v>
      </c>
      <c r="M191" s="35"/>
      <c r="N191" s="44">
        <f>'KPI Engine (Final)'!D87</f>
        <v>0</v>
      </c>
      <c r="O191" s="35"/>
      <c r="P191" s="44">
        <f>'KPI Engine (Final)'!E87</f>
        <v>0</v>
      </c>
      <c r="Q191" s="35"/>
      <c r="R191" s="44">
        <f>'KPI Engine (Final)'!F87</f>
        <v>0</v>
      </c>
      <c r="S191" s="35"/>
      <c r="T191" s="44">
        <f>'KPI Engine (Final)'!G87</f>
        <v>0</v>
      </c>
      <c r="U191" s="35"/>
      <c r="V191" s="44">
        <f>'KPI Engine (Final)'!H87</f>
        <v>0</v>
      </c>
      <c r="W191" s="35"/>
      <c r="X191" s="44">
        <f>'KPI Engine (Final)'!I87</f>
        <v>5</v>
      </c>
      <c r="Y191" s="35"/>
      <c r="Z191" s="50">
        <f>'KPI Engine (Final)'!J87</f>
        <v>42</v>
      </c>
      <c r="AA191" s="35"/>
      <c r="AB191" s="20">
        <f>'KPI Engine (Final)'!K87</f>
        <v>117</v>
      </c>
    </row>
    <row r="192" spans="1:28" ht="16.5" customHeight="1">
      <c r="A192" s="1"/>
      <c r="B192" s="60" t="s">
        <v>30</v>
      </c>
      <c r="C192" s="35"/>
      <c r="D192" s="35"/>
      <c r="E192" s="35"/>
      <c r="F192" s="35"/>
      <c r="G192" s="35"/>
      <c r="H192" s="35"/>
      <c r="I192" s="35"/>
      <c r="J192" s="37">
        <f>'KPI Engine (Final)'!B88</f>
        <v>5</v>
      </c>
      <c r="K192" s="35"/>
      <c r="L192" s="43">
        <f>'KPI Engine (Final)'!C88</f>
        <v>0</v>
      </c>
      <c r="M192" s="35"/>
      <c r="N192" s="43">
        <f>'KPI Engine (Final)'!D88</f>
        <v>0</v>
      </c>
      <c r="O192" s="35"/>
      <c r="P192" s="43">
        <f>'KPI Engine (Final)'!E88</f>
        <v>0</v>
      </c>
      <c r="Q192" s="35"/>
      <c r="R192" s="43">
        <f>'KPI Engine (Final)'!F88</f>
        <v>0</v>
      </c>
      <c r="S192" s="35"/>
      <c r="T192" s="43">
        <f>'KPI Engine (Final)'!G88</f>
        <v>0</v>
      </c>
      <c r="U192" s="35"/>
      <c r="V192" s="43">
        <f>'KPI Engine (Final)'!H88</f>
        <v>0</v>
      </c>
      <c r="W192" s="35"/>
      <c r="X192" s="43">
        <f>'KPI Engine (Final)'!I88</f>
        <v>0</v>
      </c>
      <c r="Y192" s="35"/>
      <c r="Z192" s="42">
        <f>'KPI Engine (Final)'!J88</f>
        <v>5</v>
      </c>
      <c r="AA192" s="35"/>
      <c r="AB192" s="23">
        <f>'KPI Engine (Final)'!K88</f>
        <v>0</v>
      </c>
    </row>
    <row r="193" spans="1:28" ht="16.5" customHeight="1">
      <c r="A193" s="1"/>
      <c r="B193" s="36" t="s">
        <v>31</v>
      </c>
      <c r="C193" s="35"/>
      <c r="D193" s="35"/>
      <c r="E193" s="35"/>
      <c r="F193" s="35"/>
      <c r="G193" s="35"/>
      <c r="H193" s="35"/>
      <c r="I193" s="35"/>
      <c r="J193" s="62">
        <f>'KPI Engine (Final)'!B89</f>
        <v>4</v>
      </c>
      <c r="K193" s="35"/>
      <c r="L193" s="44">
        <f>'KPI Engine (Final)'!C89</f>
        <v>0</v>
      </c>
      <c r="M193" s="35"/>
      <c r="N193" s="44">
        <f>'KPI Engine (Final)'!D89</f>
        <v>0</v>
      </c>
      <c r="O193" s="35"/>
      <c r="P193" s="44">
        <f>'KPI Engine (Final)'!E89</f>
        <v>0</v>
      </c>
      <c r="Q193" s="35"/>
      <c r="R193" s="44">
        <f>'KPI Engine (Final)'!F89</f>
        <v>0</v>
      </c>
      <c r="S193" s="35"/>
      <c r="T193" s="44">
        <f>'KPI Engine (Final)'!G89</f>
        <v>0</v>
      </c>
      <c r="U193" s="35"/>
      <c r="V193" s="44">
        <f>'KPI Engine (Final)'!H89</f>
        <v>0</v>
      </c>
      <c r="W193" s="35"/>
      <c r="X193" s="44">
        <f>'KPI Engine (Final)'!I89</f>
        <v>0</v>
      </c>
      <c r="Y193" s="35"/>
      <c r="Z193" s="50">
        <f>'KPI Engine (Final)'!J89</f>
        <v>4</v>
      </c>
      <c r="AA193" s="35"/>
      <c r="AB193" s="20">
        <f>'KPI Engine (Final)'!K89</f>
        <v>0</v>
      </c>
    </row>
    <row r="194" spans="1:28" ht="16.5" customHeight="1">
      <c r="A194" s="1"/>
      <c r="B194" s="60" t="s">
        <v>32</v>
      </c>
      <c r="C194" s="35"/>
      <c r="D194" s="35"/>
      <c r="E194" s="35"/>
      <c r="F194" s="35"/>
      <c r="G194" s="35"/>
      <c r="H194" s="35"/>
      <c r="I194" s="35"/>
      <c r="J194" s="37">
        <f>'KPI Engine (Final)'!B90</f>
        <v>12</v>
      </c>
      <c r="K194" s="35"/>
      <c r="L194" s="43">
        <f>'KPI Engine (Final)'!C90</f>
        <v>0</v>
      </c>
      <c r="M194" s="35"/>
      <c r="N194" s="43">
        <f>'KPI Engine (Final)'!D90</f>
        <v>0</v>
      </c>
      <c r="O194" s="35"/>
      <c r="P194" s="43">
        <f>'KPI Engine (Final)'!E90</f>
        <v>0</v>
      </c>
      <c r="Q194" s="35"/>
      <c r="R194" s="43">
        <f>'KPI Engine (Final)'!F90</f>
        <v>0</v>
      </c>
      <c r="S194" s="35"/>
      <c r="T194" s="43">
        <f>'KPI Engine (Final)'!G90</f>
        <v>0</v>
      </c>
      <c r="U194" s="35"/>
      <c r="V194" s="43">
        <f>'KPI Engine (Final)'!H90</f>
        <v>0</v>
      </c>
      <c r="W194" s="35"/>
      <c r="X194" s="43">
        <f>'KPI Engine (Final)'!I90</f>
        <v>0</v>
      </c>
      <c r="Y194" s="35"/>
      <c r="Z194" s="42">
        <f>'KPI Engine (Final)'!J90</f>
        <v>10</v>
      </c>
      <c r="AA194" s="35"/>
      <c r="AB194" s="23">
        <f>'KPI Engine (Final)'!K90</f>
        <v>2</v>
      </c>
    </row>
    <row r="195" spans="1:28" ht="16.5" customHeight="1">
      <c r="A195" s="1"/>
      <c r="B195" s="36" t="s">
        <v>33</v>
      </c>
      <c r="C195" s="35"/>
      <c r="D195" s="35"/>
      <c r="E195" s="35"/>
      <c r="F195" s="35"/>
      <c r="G195" s="35"/>
      <c r="H195" s="35"/>
      <c r="I195" s="35"/>
      <c r="J195" s="62">
        <f>'KPI Engine (Final)'!B91</f>
        <v>4</v>
      </c>
      <c r="K195" s="35"/>
      <c r="L195" s="44">
        <f>'KPI Engine (Final)'!C91</f>
        <v>0</v>
      </c>
      <c r="M195" s="35"/>
      <c r="N195" s="44">
        <f>'KPI Engine (Final)'!D91</f>
        <v>0</v>
      </c>
      <c r="O195" s="35"/>
      <c r="P195" s="44">
        <f>'KPI Engine (Final)'!E91</f>
        <v>0</v>
      </c>
      <c r="Q195" s="35"/>
      <c r="R195" s="44">
        <f>'KPI Engine (Final)'!F91</f>
        <v>0</v>
      </c>
      <c r="S195" s="35"/>
      <c r="T195" s="44">
        <f>'KPI Engine (Final)'!G91</f>
        <v>0</v>
      </c>
      <c r="U195" s="35"/>
      <c r="V195" s="44">
        <f>'KPI Engine (Final)'!H91</f>
        <v>0</v>
      </c>
      <c r="W195" s="35"/>
      <c r="X195" s="44">
        <f>'KPI Engine (Final)'!I91</f>
        <v>0</v>
      </c>
      <c r="Y195" s="35"/>
      <c r="Z195" s="50">
        <f>'KPI Engine (Final)'!J91</f>
        <v>1</v>
      </c>
      <c r="AA195" s="35"/>
      <c r="AB195" s="20">
        <f>'KPI Engine (Final)'!K91</f>
        <v>3</v>
      </c>
    </row>
    <row r="196" spans="1:28" ht="16.5" customHeight="1">
      <c r="A196" s="1"/>
      <c r="B196" s="60" t="s">
        <v>34</v>
      </c>
      <c r="C196" s="35"/>
      <c r="D196" s="35"/>
      <c r="E196" s="35"/>
      <c r="F196" s="35"/>
      <c r="G196" s="35"/>
      <c r="H196" s="35"/>
      <c r="I196" s="35"/>
      <c r="J196" s="37">
        <f>'KPI Engine (Final)'!B92</f>
        <v>9</v>
      </c>
      <c r="K196" s="35"/>
      <c r="L196" s="43">
        <f>'KPI Engine (Final)'!C92</f>
        <v>0</v>
      </c>
      <c r="M196" s="35"/>
      <c r="N196" s="43">
        <f>'KPI Engine (Final)'!D92</f>
        <v>0</v>
      </c>
      <c r="O196" s="35"/>
      <c r="P196" s="43">
        <f>'KPI Engine (Final)'!E92</f>
        <v>0</v>
      </c>
      <c r="Q196" s="35"/>
      <c r="R196" s="43">
        <f>'KPI Engine (Final)'!F92</f>
        <v>0</v>
      </c>
      <c r="S196" s="35"/>
      <c r="T196" s="43">
        <f>'KPI Engine (Final)'!G92</f>
        <v>0</v>
      </c>
      <c r="U196" s="35"/>
      <c r="V196" s="43">
        <f>'KPI Engine (Final)'!H92</f>
        <v>0</v>
      </c>
      <c r="W196" s="35"/>
      <c r="X196" s="43">
        <f>'KPI Engine (Final)'!I92</f>
        <v>0</v>
      </c>
      <c r="Y196" s="35"/>
      <c r="Z196" s="42">
        <f>'KPI Engine (Final)'!J92</f>
        <v>7</v>
      </c>
      <c r="AA196" s="35"/>
      <c r="AB196" s="23">
        <f>'KPI Engine (Final)'!K92</f>
        <v>2</v>
      </c>
    </row>
    <row r="197" spans="1:28" ht="21" customHeight="1">
      <c r="A197" s="1"/>
      <c r="B197" s="75" t="s">
        <v>75</v>
      </c>
      <c r="C197" s="39"/>
      <c r="D197" s="39"/>
      <c r="E197" s="39"/>
      <c r="F197" s="39"/>
      <c r="G197" s="39"/>
      <c r="H197" s="39"/>
      <c r="I197" s="39"/>
      <c r="J197" s="57">
        <f>'KPI Engine (Final)'!B93</f>
        <v>2486</v>
      </c>
      <c r="K197" s="39"/>
      <c r="L197" s="57">
        <f>'KPI Engine (Final)'!C93</f>
        <v>202</v>
      </c>
      <c r="M197" s="39"/>
      <c r="N197" s="57">
        <f>'KPI Engine (Final)'!D93</f>
        <v>1494</v>
      </c>
      <c r="O197" s="39"/>
      <c r="P197" s="57">
        <f>'KPI Engine (Final)'!E93</f>
        <v>20</v>
      </c>
      <c r="Q197" s="39"/>
      <c r="R197" s="57">
        <f>'KPI Engine (Final)'!F93</f>
        <v>12</v>
      </c>
      <c r="S197" s="39"/>
      <c r="T197" s="57">
        <f>'KPI Engine (Final)'!G93</f>
        <v>4</v>
      </c>
      <c r="U197" s="39"/>
      <c r="V197" s="57">
        <f>'KPI Engine (Final)'!H93</f>
        <v>180</v>
      </c>
      <c r="W197" s="39"/>
      <c r="X197" s="57">
        <f>'KPI Engine (Final)'!I93</f>
        <v>146</v>
      </c>
      <c r="Y197" s="39"/>
      <c r="Z197" s="57">
        <f>'KPI Engine (Final)'!J93</f>
        <v>175</v>
      </c>
      <c r="AA197" s="39"/>
      <c r="AB197" s="17">
        <f>'KPI Engine (Final)'!K93</f>
        <v>1950</v>
      </c>
    </row>
    <row r="198" spans="1:28" ht="1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9.5" customHeight="1">
      <c r="A199" s="1"/>
      <c r="B199" s="69" t="s">
        <v>538</v>
      </c>
      <c r="C199" s="39"/>
      <c r="D199" s="39"/>
      <c r="E199" s="39"/>
      <c r="F199" s="39"/>
      <c r="G199" s="39"/>
      <c r="H199" s="39"/>
      <c r="I199" s="39"/>
      <c r="J199" s="39"/>
      <c r="K199" s="39"/>
      <c r="L199" s="39"/>
      <c r="M199" s="39"/>
      <c r="N199" s="39"/>
      <c r="O199" s="39"/>
      <c r="P199" s="39"/>
      <c r="Q199" s="39"/>
      <c r="R199" s="2"/>
      <c r="S199" s="2"/>
      <c r="T199" s="2"/>
      <c r="U199" s="2"/>
      <c r="V199" s="2"/>
      <c r="W199" s="2"/>
      <c r="X199" s="2"/>
      <c r="Y199" s="2"/>
      <c r="Z199" s="2"/>
      <c r="AA199" s="2"/>
      <c r="AB199" s="2"/>
    </row>
    <row r="200" spans="1:28" ht="13.5" customHeight="1">
      <c r="A200" s="1"/>
      <c r="B200" s="76" t="s">
        <v>76</v>
      </c>
      <c r="C200" s="39"/>
      <c r="D200" s="39"/>
      <c r="E200" s="39"/>
      <c r="F200" s="39"/>
      <c r="G200" s="58" t="s">
        <v>77</v>
      </c>
      <c r="H200" s="39"/>
      <c r="I200" s="39"/>
      <c r="J200" s="39"/>
      <c r="K200" s="39"/>
      <c r="L200" s="39"/>
      <c r="M200" s="39"/>
      <c r="N200" s="39"/>
      <c r="O200" s="39"/>
      <c r="P200" s="39"/>
      <c r="Q200" s="39"/>
      <c r="R200" s="39"/>
      <c r="S200" s="39"/>
      <c r="T200" s="39"/>
      <c r="U200" s="39"/>
      <c r="V200" s="39"/>
      <c r="W200" s="39"/>
      <c r="X200" s="39"/>
      <c r="Y200" s="39"/>
      <c r="Z200" s="39"/>
      <c r="AA200" s="39"/>
      <c r="AB200" s="39"/>
    </row>
    <row r="201" spans="1:28" ht="13.5" customHeight="1">
      <c r="A201" s="1"/>
      <c r="B201" s="76" t="s">
        <v>78</v>
      </c>
      <c r="C201" s="39"/>
      <c r="D201" s="39"/>
      <c r="E201" s="39"/>
      <c r="F201" s="39"/>
      <c r="G201" s="58" t="s">
        <v>79</v>
      </c>
      <c r="H201" s="39"/>
      <c r="I201" s="39"/>
      <c r="J201" s="39"/>
      <c r="K201" s="39"/>
      <c r="L201" s="39"/>
      <c r="M201" s="39"/>
      <c r="N201" s="39"/>
      <c r="O201" s="39"/>
      <c r="P201" s="39"/>
      <c r="Q201" s="39"/>
      <c r="R201" s="39"/>
      <c r="S201" s="39"/>
      <c r="T201" s="39"/>
      <c r="U201" s="39"/>
      <c r="V201" s="39"/>
      <c r="W201" s="39"/>
      <c r="X201" s="39"/>
      <c r="Y201" s="39"/>
      <c r="Z201" s="39"/>
      <c r="AA201" s="39"/>
      <c r="AB201" s="39"/>
    </row>
    <row r="202" spans="1:28" ht="13.5" customHeight="1">
      <c r="A202" s="1"/>
      <c r="B202" s="76" t="s">
        <v>80</v>
      </c>
      <c r="C202" s="39"/>
      <c r="D202" s="39"/>
      <c r="E202" s="39"/>
      <c r="F202" s="39"/>
      <c r="G202" s="58" t="s">
        <v>81</v>
      </c>
      <c r="H202" s="39"/>
      <c r="I202" s="39"/>
      <c r="J202" s="39"/>
      <c r="K202" s="39"/>
      <c r="L202" s="39"/>
      <c r="M202" s="39"/>
      <c r="N202" s="39"/>
      <c r="O202" s="39"/>
      <c r="P202" s="39"/>
      <c r="Q202" s="39"/>
      <c r="R202" s="39"/>
      <c r="S202" s="39"/>
      <c r="T202" s="39"/>
      <c r="U202" s="39"/>
      <c r="V202" s="39"/>
      <c r="W202" s="39"/>
      <c r="X202" s="39"/>
      <c r="Y202" s="39"/>
      <c r="Z202" s="39"/>
      <c r="AA202" s="39"/>
      <c r="AB202" s="39"/>
    </row>
    <row r="203" spans="1:28" ht="13.5" customHeight="1">
      <c r="A203" s="1"/>
      <c r="B203" s="76" t="s">
        <v>82</v>
      </c>
      <c r="C203" s="39"/>
      <c r="D203" s="39"/>
      <c r="E203" s="39"/>
      <c r="F203" s="39"/>
      <c r="G203" s="58" t="s">
        <v>83</v>
      </c>
      <c r="H203" s="39"/>
      <c r="I203" s="39"/>
      <c r="J203" s="39"/>
      <c r="K203" s="39"/>
      <c r="L203" s="39"/>
      <c r="M203" s="39"/>
      <c r="N203" s="39"/>
      <c r="O203" s="39"/>
      <c r="P203" s="39"/>
      <c r="Q203" s="39"/>
      <c r="R203" s="39"/>
      <c r="S203" s="39"/>
      <c r="T203" s="39"/>
      <c r="U203" s="39"/>
      <c r="V203" s="39"/>
      <c r="W203" s="39"/>
      <c r="X203" s="39"/>
      <c r="Y203" s="39"/>
      <c r="Z203" s="39"/>
      <c r="AA203" s="39"/>
      <c r="AB203" s="39"/>
    </row>
    <row r="204" spans="1:28" ht="13.5" customHeight="1">
      <c r="A204" s="1"/>
      <c r="B204" s="76" t="s">
        <v>84</v>
      </c>
      <c r="C204" s="39"/>
      <c r="D204" s="39"/>
      <c r="E204" s="39"/>
      <c r="F204" s="39"/>
      <c r="G204" s="58" t="str">
        <f>"WIR "&amp;'KPI Engine (Final)'!B5&amp;" days · MIR "&amp;'KPI Engine (Final)'!B6&amp;" days · Shop Drawings "&amp;'KPI Engine (Final)'!B7&amp;" days · RFI "&amp;'KPI Engine (Final)'!B8&amp;" days · SOR "&amp;'KPI Engine (Final)'!B9&amp;" days · NCR bands at 7 / 14 / 30 days."</f>
        <v>WIR 2 days · MIR 3 days · Shop Drawings 14 days · RFI 14 days · SOR 7 days · NCR bands at 7 / 14 / 30 days.</v>
      </c>
      <c r="H204" s="39"/>
      <c r="I204" s="39"/>
      <c r="J204" s="39"/>
      <c r="K204" s="39"/>
      <c r="L204" s="39"/>
      <c r="M204" s="39"/>
      <c r="N204" s="39"/>
      <c r="O204" s="39"/>
      <c r="P204" s="39"/>
      <c r="Q204" s="39"/>
      <c r="R204" s="39"/>
      <c r="S204" s="39"/>
      <c r="T204" s="39"/>
      <c r="U204" s="39"/>
      <c r="V204" s="39"/>
      <c r="W204" s="39"/>
      <c r="X204" s="39"/>
      <c r="Y204" s="39"/>
      <c r="Z204" s="39"/>
      <c r="AA204" s="39"/>
      <c r="AB204" s="39"/>
    </row>
    <row r="205" spans="1:28" ht="13.5" customHeight="1">
      <c r="A205" s="1"/>
      <c r="B205" s="76" t="s">
        <v>85</v>
      </c>
      <c r="C205" s="39"/>
      <c r="D205" s="39"/>
      <c r="E205" s="39"/>
      <c r="F205" s="39"/>
      <c r="G205" s="58" t="s">
        <v>86</v>
      </c>
      <c r="H205" s="39"/>
      <c r="I205" s="39"/>
      <c r="J205" s="39"/>
      <c r="K205" s="39"/>
      <c r="L205" s="39"/>
      <c r="M205" s="39"/>
      <c r="N205" s="39"/>
      <c r="O205" s="39"/>
      <c r="P205" s="39"/>
      <c r="Q205" s="39"/>
      <c r="R205" s="39"/>
      <c r="S205" s="39"/>
      <c r="T205" s="39"/>
      <c r="U205" s="39"/>
      <c r="V205" s="39"/>
      <c r="W205" s="39"/>
      <c r="X205" s="39"/>
      <c r="Y205" s="39"/>
      <c r="Z205" s="39"/>
      <c r="AA205" s="39"/>
      <c r="AB205" s="39"/>
    </row>
    <row r="206" spans="1:28" ht="13.5" customHeight="1">
      <c r="A206" s="1"/>
      <c r="B206" s="76" t="s">
        <v>87</v>
      </c>
      <c r="C206" s="39"/>
      <c r="D206" s="39"/>
      <c r="E206" s="39"/>
      <c r="F206" s="39"/>
      <c r="G206" s="58" t="s">
        <v>88</v>
      </c>
      <c r="H206" s="39"/>
      <c r="I206" s="39"/>
      <c r="J206" s="39"/>
      <c r="K206" s="39"/>
      <c r="L206" s="39"/>
      <c r="M206" s="39"/>
      <c r="N206" s="39"/>
      <c r="O206" s="39"/>
      <c r="P206" s="39"/>
      <c r="Q206" s="39"/>
      <c r="R206" s="39"/>
      <c r="S206" s="39"/>
      <c r="T206" s="39"/>
      <c r="U206" s="39"/>
      <c r="V206" s="39"/>
      <c r="W206" s="39"/>
      <c r="X206" s="39"/>
      <c r="Y206" s="39"/>
      <c r="Z206" s="39"/>
      <c r="AA206" s="39"/>
      <c r="AB206" s="39"/>
    </row>
    <row r="207" spans="1:28" ht="13.5" customHeight="1">
      <c r="A207" s="1"/>
      <c r="B207" s="76" t="s">
        <v>89</v>
      </c>
      <c r="C207" s="39"/>
      <c r="D207" s="39"/>
      <c r="E207" s="39"/>
      <c r="F207" s="39"/>
      <c r="G207" s="58" t="s">
        <v>90</v>
      </c>
      <c r="H207" s="39"/>
      <c r="I207" s="39"/>
      <c r="J207" s="39"/>
      <c r="K207" s="39"/>
      <c r="L207" s="39"/>
      <c r="M207" s="39"/>
      <c r="N207" s="39"/>
      <c r="O207" s="39"/>
      <c r="P207" s="39"/>
      <c r="Q207" s="39"/>
      <c r="R207" s="39"/>
      <c r="S207" s="39"/>
      <c r="T207" s="39"/>
      <c r="U207" s="39"/>
      <c r="V207" s="39"/>
      <c r="W207" s="39"/>
      <c r="X207" s="39"/>
      <c r="Y207" s="39"/>
      <c r="Z207" s="39"/>
      <c r="AA207" s="39"/>
      <c r="AB207" s="39"/>
    </row>
    <row r="208" spans="1:28" ht="13.5" customHeight="1">
      <c r="A208" s="1"/>
      <c r="B208" s="76" t="s">
        <v>91</v>
      </c>
      <c r="C208" s="39"/>
      <c r="D208" s="39"/>
      <c r="E208" s="39"/>
      <c r="F208" s="39"/>
      <c r="G208" s="58" t="s">
        <v>210</v>
      </c>
      <c r="H208" s="39"/>
      <c r="I208" s="39"/>
      <c r="J208" s="39"/>
      <c r="K208" s="39"/>
      <c r="L208" s="39"/>
      <c r="M208" s="39"/>
      <c r="N208" s="39"/>
      <c r="O208" s="39"/>
      <c r="P208" s="39"/>
      <c r="Q208" s="39"/>
      <c r="R208" s="39"/>
      <c r="S208" s="39"/>
      <c r="T208" s="39"/>
      <c r="U208" s="39"/>
      <c r="V208" s="39"/>
      <c r="W208" s="39"/>
      <c r="X208" s="39"/>
      <c r="Y208" s="39"/>
      <c r="Z208" s="39"/>
      <c r="AA208" s="39"/>
      <c r="AB208" s="39"/>
    </row>
    <row r="209" spans="1:28" ht="13.5" customHeight="1">
      <c r="A209" s="1"/>
      <c r="B209" s="76" t="s">
        <v>92</v>
      </c>
      <c r="C209" s="39"/>
      <c r="D209" s="39"/>
      <c r="E209" s="39"/>
      <c r="F209" s="39"/>
      <c r="G209" s="58" t="s">
        <v>93</v>
      </c>
      <c r="H209" s="39"/>
      <c r="I209" s="39"/>
      <c r="J209" s="39"/>
      <c r="K209" s="39"/>
      <c r="L209" s="39"/>
      <c r="M209" s="39"/>
      <c r="N209" s="39"/>
      <c r="O209" s="39"/>
      <c r="P209" s="39"/>
      <c r="Q209" s="39"/>
      <c r="R209" s="39"/>
      <c r="S209" s="39"/>
      <c r="T209" s="39"/>
      <c r="U209" s="39"/>
      <c r="V209" s="39"/>
      <c r="W209" s="39"/>
      <c r="X209" s="39"/>
      <c r="Y209" s="39"/>
      <c r="Z209" s="39"/>
      <c r="AA209" s="39"/>
      <c r="AB209" s="39"/>
    </row>
    <row r="210" spans="1:28" ht="7.5" customHeight="1">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5" customHeight="1">
      <c r="B211" s="64"/>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row>
    <row r="212" spans="1:28" ht="15" customHeight="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9.5" customHeight="1">
      <c r="B213" s="69" t="s">
        <v>539</v>
      </c>
      <c r="C213" s="39"/>
      <c r="D213" s="39"/>
      <c r="E213" s="39"/>
      <c r="F213" s="39"/>
      <c r="G213" s="39"/>
      <c r="H213" s="39"/>
      <c r="I213" s="39"/>
      <c r="J213" s="39"/>
      <c r="K213" s="39"/>
      <c r="L213" s="39"/>
      <c r="M213" s="39"/>
      <c r="N213" s="39"/>
      <c r="O213" s="39"/>
      <c r="P213" s="39"/>
      <c r="Q213" s="39"/>
      <c r="R213" s="69" t="s">
        <v>94</v>
      </c>
      <c r="S213" s="39"/>
      <c r="T213" s="39"/>
      <c r="U213" s="39"/>
      <c r="V213" s="39"/>
      <c r="W213" s="39"/>
      <c r="X213" s="39"/>
      <c r="Y213" s="39"/>
      <c r="Z213" s="39"/>
      <c r="AA213" s="39"/>
      <c r="AB213" s="39"/>
    </row>
    <row r="214" spans="1:28">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25.5" customHeight="1">
      <c r="B215" s="61" t="s">
        <v>5</v>
      </c>
      <c r="C215" s="41"/>
      <c r="D215" s="41"/>
      <c r="E215" s="41"/>
      <c r="F215" s="41"/>
      <c r="G215" s="41"/>
      <c r="H215" s="41"/>
      <c r="I215" s="41"/>
      <c r="J215" s="40" t="s">
        <v>95</v>
      </c>
      <c r="K215" s="41"/>
      <c r="L215" s="40" t="s">
        <v>3</v>
      </c>
      <c r="M215" s="41"/>
      <c r="N215" s="41"/>
      <c r="O215" s="40" t="s">
        <v>96</v>
      </c>
      <c r="P215" s="41"/>
      <c r="Q215" s="41"/>
      <c r="R215" s="40" t="s">
        <v>97</v>
      </c>
      <c r="S215" s="41"/>
      <c r="T215" s="41"/>
      <c r="U215" s="40" t="s">
        <v>28</v>
      </c>
      <c r="V215" s="41"/>
      <c r="W215" s="41"/>
      <c r="X215" s="40" t="s">
        <v>98</v>
      </c>
      <c r="Y215" s="41"/>
      <c r="Z215" s="41"/>
      <c r="AA215" s="41"/>
      <c r="AB215" s="41"/>
    </row>
    <row r="216" spans="1:28" ht="18.75" customHeight="1">
      <c r="B216" s="36" t="s">
        <v>57</v>
      </c>
      <c r="C216" s="35"/>
      <c r="D216" s="35"/>
      <c r="E216" s="35"/>
      <c r="F216" s="35"/>
      <c r="G216" s="35"/>
      <c r="H216" s="35"/>
      <c r="I216" s="35"/>
      <c r="J216" s="59">
        <f>'KPI Engine (Final)'!B161</f>
        <v>2</v>
      </c>
      <c r="K216" s="35"/>
      <c r="L216" s="59">
        <f>'KPI Engine (Final)'!C161</f>
        <v>620</v>
      </c>
      <c r="M216" s="35"/>
      <c r="N216" s="35"/>
      <c r="O216" s="59">
        <f>'KPI Engine (Final)'!D161</f>
        <v>617</v>
      </c>
      <c r="P216" s="35"/>
      <c r="Q216" s="35"/>
      <c r="R216" s="59">
        <f>'KPI Engine (Final)'!E161</f>
        <v>3</v>
      </c>
      <c r="S216" s="35"/>
      <c r="T216" s="35"/>
      <c r="U216" s="59">
        <f>'KPI Engine (Final)'!F161</f>
        <v>0</v>
      </c>
      <c r="V216" s="35"/>
      <c r="W216" s="35"/>
      <c r="X216" s="77">
        <f>'KPI Engine (Final)'!G161</f>
        <v>0.99516129032258061</v>
      </c>
      <c r="Y216" s="35"/>
      <c r="Z216" s="35"/>
      <c r="AA216" s="35"/>
      <c r="AB216" s="35"/>
    </row>
    <row r="217" spans="1:28" ht="18.75" customHeight="1">
      <c r="B217" s="36" t="s">
        <v>58</v>
      </c>
      <c r="C217" s="35"/>
      <c r="D217" s="35"/>
      <c r="E217" s="35"/>
      <c r="F217" s="35"/>
      <c r="G217" s="35"/>
      <c r="H217" s="35"/>
      <c r="I217" s="35"/>
      <c r="J217" s="59">
        <f>'KPI Engine (Final)'!B162</f>
        <v>3</v>
      </c>
      <c r="K217" s="35"/>
      <c r="L217" s="59">
        <f>'KPI Engine (Final)'!C162</f>
        <v>183</v>
      </c>
      <c r="M217" s="35"/>
      <c r="N217" s="35"/>
      <c r="O217" s="59">
        <f>'KPI Engine (Final)'!D162</f>
        <v>180</v>
      </c>
      <c r="P217" s="35"/>
      <c r="Q217" s="35"/>
      <c r="R217" s="59">
        <f>'KPI Engine (Final)'!E162</f>
        <v>3</v>
      </c>
      <c r="S217" s="35"/>
      <c r="T217" s="35"/>
      <c r="U217" s="59">
        <f>'KPI Engine (Final)'!F162</f>
        <v>0</v>
      </c>
      <c r="V217" s="35"/>
      <c r="W217" s="35"/>
      <c r="X217" s="77">
        <f>'KPI Engine (Final)'!G162</f>
        <v>0.98360655737704916</v>
      </c>
      <c r="Y217" s="35"/>
      <c r="Z217" s="35"/>
      <c r="AA217" s="35"/>
      <c r="AB217" s="35"/>
    </row>
    <row r="218" spans="1:28" ht="18.75" customHeight="1">
      <c r="B218" s="36" t="s">
        <v>59</v>
      </c>
      <c r="C218" s="35"/>
      <c r="D218" s="35"/>
      <c r="E218" s="35"/>
      <c r="F218" s="35"/>
      <c r="G218" s="35"/>
      <c r="H218" s="35"/>
      <c r="I218" s="35"/>
      <c r="J218" s="59">
        <f>'KPI Engine (Final)'!B163</f>
        <v>14</v>
      </c>
      <c r="K218" s="35"/>
      <c r="L218" s="59">
        <f>'KPI Engine (Final)'!C163</f>
        <v>109</v>
      </c>
      <c r="M218" s="35"/>
      <c r="N218" s="35"/>
      <c r="O218" s="59">
        <f>'KPI Engine (Final)'!D163</f>
        <v>106</v>
      </c>
      <c r="P218" s="35"/>
      <c r="Q218" s="35"/>
      <c r="R218" s="59">
        <f>'KPI Engine (Final)'!E163</f>
        <v>1</v>
      </c>
      <c r="S218" s="35"/>
      <c r="T218" s="35"/>
      <c r="U218" s="59">
        <f>'KPI Engine (Final)'!F163</f>
        <v>2</v>
      </c>
      <c r="V218" s="35"/>
      <c r="W218" s="35"/>
      <c r="X218" s="77">
        <f>'KPI Engine (Final)'!G163</f>
        <v>0.99065420560747663</v>
      </c>
      <c r="Y218" s="35"/>
      <c r="Z218" s="35"/>
      <c r="AA218" s="35"/>
      <c r="AB218" s="35"/>
    </row>
    <row r="219" spans="1:28" ht="18.75" customHeight="1">
      <c r="B219" s="36" t="s">
        <v>99</v>
      </c>
      <c r="C219" s="35"/>
      <c r="D219" s="35"/>
      <c r="E219" s="35"/>
      <c r="F219" s="35"/>
      <c r="G219" s="35"/>
      <c r="H219" s="35"/>
      <c r="I219" s="35"/>
      <c r="J219" s="59">
        <f>'KPI Engine (Final)'!B164</f>
        <v>14</v>
      </c>
      <c r="K219" s="35"/>
      <c r="L219" s="59">
        <f>'KPI Engine (Final)'!C164</f>
        <v>14</v>
      </c>
      <c r="M219" s="35"/>
      <c r="N219" s="35"/>
      <c r="O219" s="59">
        <f>'KPI Engine (Final)'!D164</f>
        <v>14</v>
      </c>
      <c r="P219" s="35"/>
      <c r="Q219" s="35"/>
      <c r="R219" s="59">
        <f>'KPI Engine (Final)'!E164</f>
        <v>0</v>
      </c>
      <c r="S219" s="35"/>
      <c r="T219" s="35"/>
      <c r="U219" s="59">
        <f>'KPI Engine (Final)'!F164</f>
        <v>0</v>
      </c>
      <c r="V219" s="35"/>
      <c r="W219" s="35"/>
      <c r="X219" s="77">
        <f>'KPI Engine (Final)'!G164</f>
        <v>1</v>
      </c>
      <c r="Y219" s="35"/>
      <c r="Z219" s="35"/>
      <c r="AA219" s="35"/>
      <c r="AB219" s="35"/>
    </row>
    <row r="220" spans="1:28" ht="18.75" customHeight="1">
      <c r="B220" s="36" t="s">
        <v>100</v>
      </c>
      <c r="C220" s="35"/>
      <c r="D220" s="35"/>
      <c r="E220" s="35"/>
      <c r="F220" s="35"/>
      <c r="G220" s="35"/>
      <c r="H220" s="35"/>
      <c r="I220" s="35"/>
      <c r="J220" s="59">
        <f>'KPI Engine (Final)'!B165</f>
        <v>14</v>
      </c>
      <c r="K220" s="35"/>
      <c r="L220" s="59">
        <f>'KPI Engine (Final)'!C165</f>
        <v>4</v>
      </c>
      <c r="M220" s="35"/>
      <c r="N220" s="35"/>
      <c r="O220" s="59">
        <f>'KPI Engine (Final)'!D165</f>
        <v>4</v>
      </c>
      <c r="P220" s="35"/>
      <c r="Q220" s="35"/>
      <c r="R220" s="59">
        <f>'KPI Engine (Final)'!E165</f>
        <v>0</v>
      </c>
      <c r="S220" s="35"/>
      <c r="T220" s="35"/>
      <c r="U220" s="59">
        <f>'KPI Engine (Final)'!F165</f>
        <v>0</v>
      </c>
      <c r="V220" s="35"/>
      <c r="W220" s="35"/>
      <c r="X220" s="77">
        <f>'KPI Engine (Final)'!G165</f>
        <v>1</v>
      </c>
      <c r="Y220" s="35"/>
      <c r="Z220" s="35"/>
      <c r="AA220" s="35"/>
      <c r="AB220" s="35"/>
    </row>
    <row r="221" spans="1:28" ht="18.75" customHeight="1">
      <c r="B221" s="36" t="s">
        <v>101</v>
      </c>
      <c r="C221" s="35"/>
      <c r="D221" s="35"/>
      <c r="E221" s="35"/>
      <c r="F221" s="35"/>
      <c r="G221" s="35"/>
      <c r="H221" s="35"/>
      <c r="I221" s="35"/>
      <c r="J221" s="59">
        <f>'KPI Engine (Final)'!B166</f>
        <v>14</v>
      </c>
      <c r="K221" s="35"/>
      <c r="L221" s="59">
        <f>'KPI Engine (Final)'!C166</f>
        <v>2</v>
      </c>
      <c r="M221" s="35"/>
      <c r="N221" s="35"/>
      <c r="O221" s="59">
        <f>'KPI Engine (Final)'!D166</f>
        <v>2</v>
      </c>
      <c r="P221" s="35"/>
      <c r="Q221" s="35"/>
      <c r="R221" s="59">
        <f>'KPI Engine (Final)'!E166</f>
        <v>0</v>
      </c>
      <c r="S221" s="35"/>
      <c r="T221" s="35"/>
      <c r="U221" s="59">
        <f>'KPI Engine (Final)'!F166</f>
        <v>0</v>
      </c>
      <c r="V221" s="35"/>
      <c r="W221" s="35"/>
      <c r="X221" s="77">
        <f>'KPI Engine (Final)'!G166</f>
        <v>1</v>
      </c>
      <c r="Y221" s="35"/>
      <c r="Z221" s="35"/>
      <c r="AA221" s="35"/>
      <c r="AB221" s="35"/>
    </row>
    <row r="222" spans="1:28" ht="18.75" customHeight="1">
      <c r="B222" s="36" t="s">
        <v>102</v>
      </c>
      <c r="C222" s="35"/>
      <c r="D222" s="35"/>
      <c r="E222" s="35"/>
      <c r="F222" s="35"/>
      <c r="G222" s="35"/>
      <c r="H222" s="35"/>
      <c r="I222" s="35"/>
      <c r="J222" s="59">
        <f>'KPI Engine (Final)'!B167</f>
        <v>14</v>
      </c>
      <c r="K222" s="35"/>
      <c r="L222" s="59">
        <f>'KPI Engine (Final)'!C167</f>
        <v>432</v>
      </c>
      <c r="M222" s="35"/>
      <c r="N222" s="35"/>
      <c r="O222" s="59">
        <f>'KPI Engine (Final)'!D167</f>
        <v>431</v>
      </c>
      <c r="P222" s="35"/>
      <c r="Q222" s="35"/>
      <c r="R222" s="59">
        <f>'KPI Engine (Final)'!E167</f>
        <v>1</v>
      </c>
      <c r="S222" s="35"/>
      <c r="T222" s="35"/>
      <c r="U222" s="59">
        <f>'KPI Engine (Final)'!F167</f>
        <v>0</v>
      </c>
      <c r="V222" s="35"/>
      <c r="W222" s="35"/>
      <c r="X222" s="77">
        <f>'KPI Engine (Final)'!G167</f>
        <v>0.99768518518518523</v>
      </c>
      <c r="Y222" s="35"/>
      <c r="Z222" s="35"/>
      <c r="AA222" s="35"/>
      <c r="AB222" s="35"/>
    </row>
    <row r="223" spans="1:28" ht="18.75" customHeight="1">
      <c r="B223" s="36" t="s">
        <v>103</v>
      </c>
      <c r="C223" s="35"/>
      <c r="D223" s="35"/>
      <c r="E223" s="35"/>
      <c r="F223" s="35"/>
      <c r="G223" s="35"/>
      <c r="H223" s="35"/>
      <c r="I223" s="35"/>
      <c r="J223" s="59">
        <f>'KPI Engine (Final)'!B168</f>
        <v>14</v>
      </c>
      <c r="K223" s="35"/>
      <c r="L223" s="59">
        <f>'KPI Engine (Final)'!C168</f>
        <v>83</v>
      </c>
      <c r="M223" s="35"/>
      <c r="N223" s="35"/>
      <c r="O223" s="59">
        <f>'KPI Engine (Final)'!D168</f>
        <v>82</v>
      </c>
      <c r="P223" s="35"/>
      <c r="Q223" s="35"/>
      <c r="R223" s="59">
        <f>'KPI Engine (Final)'!E168</f>
        <v>1</v>
      </c>
      <c r="S223" s="35"/>
      <c r="T223" s="35"/>
      <c r="U223" s="59">
        <f>'KPI Engine (Final)'!F168</f>
        <v>0</v>
      </c>
      <c r="V223" s="35"/>
      <c r="W223" s="35"/>
      <c r="X223" s="77">
        <f>'KPI Engine (Final)'!G168</f>
        <v>0.98795180722891562</v>
      </c>
      <c r="Y223" s="35"/>
      <c r="Z223" s="35"/>
      <c r="AA223" s="35"/>
      <c r="AB223" s="35"/>
    </row>
    <row r="224" spans="1:28" ht="18.75" customHeight="1">
      <c r="B224" s="36" t="s">
        <v>104</v>
      </c>
      <c r="C224" s="35"/>
      <c r="D224" s="35"/>
      <c r="E224" s="35"/>
      <c r="F224" s="35"/>
      <c r="G224" s="35"/>
      <c r="H224" s="35"/>
      <c r="I224" s="35"/>
      <c r="J224" s="59">
        <f>'KPI Engine (Final)'!B169</f>
        <v>14</v>
      </c>
      <c r="K224" s="35"/>
      <c r="L224" s="59">
        <f>'KPI Engine (Final)'!C169</f>
        <v>91</v>
      </c>
      <c r="M224" s="35"/>
      <c r="N224" s="35"/>
      <c r="O224" s="59">
        <f>'KPI Engine (Final)'!D169</f>
        <v>89</v>
      </c>
      <c r="P224" s="35"/>
      <c r="Q224" s="35"/>
      <c r="R224" s="59">
        <f>'KPI Engine (Final)'!E169</f>
        <v>1</v>
      </c>
      <c r="S224" s="35"/>
      <c r="T224" s="35"/>
      <c r="U224" s="59">
        <f>'KPI Engine (Final)'!F169</f>
        <v>1</v>
      </c>
      <c r="V224" s="35"/>
      <c r="W224" s="35"/>
      <c r="X224" s="77">
        <f>'KPI Engine (Final)'!G169</f>
        <v>0.98888888888888893</v>
      </c>
      <c r="Y224" s="35"/>
      <c r="Z224" s="35"/>
      <c r="AA224" s="35"/>
      <c r="AB224" s="35"/>
    </row>
    <row r="225" spans="1:28" ht="18.75" customHeight="1">
      <c r="B225" s="36" t="s">
        <v>105</v>
      </c>
      <c r="C225" s="35"/>
      <c r="D225" s="35"/>
      <c r="E225" s="35"/>
      <c r="F225" s="35"/>
      <c r="G225" s="35"/>
      <c r="H225" s="35"/>
      <c r="I225" s="35"/>
      <c r="J225" s="59">
        <f>'KPI Engine (Final)'!B170</f>
        <v>14</v>
      </c>
      <c r="K225" s="35"/>
      <c r="L225" s="59">
        <f>'KPI Engine (Final)'!C170</f>
        <v>14</v>
      </c>
      <c r="M225" s="35"/>
      <c r="N225" s="35"/>
      <c r="O225" s="59">
        <f>'KPI Engine (Final)'!D170</f>
        <v>14</v>
      </c>
      <c r="P225" s="35"/>
      <c r="Q225" s="35"/>
      <c r="R225" s="59">
        <f>'KPI Engine (Final)'!E170</f>
        <v>0</v>
      </c>
      <c r="S225" s="35"/>
      <c r="T225" s="35"/>
      <c r="U225" s="59">
        <f>'KPI Engine (Final)'!F170</f>
        <v>0</v>
      </c>
      <c r="V225" s="35"/>
      <c r="W225" s="35"/>
      <c r="X225" s="77">
        <f>'KPI Engine (Final)'!G170</f>
        <v>1</v>
      </c>
      <c r="Y225" s="35"/>
      <c r="Z225" s="35"/>
      <c r="AA225" s="35"/>
      <c r="AB225" s="35"/>
    </row>
    <row r="226" spans="1:28" ht="18.75" customHeight="1">
      <c r="B226" s="36" t="s">
        <v>106</v>
      </c>
      <c r="C226" s="35"/>
      <c r="D226" s="35"/>
      <c r="E226" s="35"/>
      <c r="F226" s="35"/>
      <c r="G226" s="35"/>
      <c r="H226" s="35"/>
      <c r="I226" s="35"/>
      <c r="J226" s="59">
        <f>'KPI Engine (Final)'!B171</f>
        <v>14</v>
      </c>
      <c r="K226" s="35"/>
      <c r="L226" s="59">
        <f>'KPI Engine (Final)'!C171</f>
        <v>31</v>
      </c>
      <c r="M226" s="35"/>
      <c r="N226" s="35"/>
      <c r="O226" s="59">
        <f>'KPI Engine (Final)'!D171</f>
        <v>31</v>
      </c>
      <c r="P226" s="35"/>
      <c r="Q226" s="35"/>
      <c r="R226" s="59">
        <f>'KPI Engine (Final)'!E171</f>
        <v>0</v>
      </c>
      <c r="S226" s="35"/>
      <c r="T226" s="35"/>
      <c r="U226" s="59">
        <f>'KPI Engine (Final)'!F171</f>
        <v>0</v>
      </c>
      <c r="V226" s="35"/>
      <c r="W226" s="35"/>
      <c r="X226" s="77">
        <f>'KPI Engine (Final)'!G171</f>
        <v>1</v>
      </c>
      <c r="Y226" s="35"/>
      <c r="Z226" s="35"/>
      <c r="AA226" s="35"/>
      <c r="AB226" s="35"/>
    </row>
    <row r="227" spans="1:28" ht="21" customHeight="1">
      <c r="B227" s="75" t="s">
        <v>107</v>
      </c>
      <c r="C227" s="39"/>
      <c r="D227" s="39"/>
      <c r="E227" s="39"/>
      <c r="F227" s="39"/>
      <c r="G227" s="39"/>
      <c r="H227" s="39"/>
      <c r="I227" s="39"/>
      <c r="J227" s="57"/>
      <c r="K227" s="39"/>
      <c r="L227" s="57">
        <f>'KPI Engine (Final)'!C172</f>
        <v>1583</v>
      </c>
      <c r="M227" s="39"/>
      <c r="N227" s="39"/>
      <c r="O227" s="57">
        <f>'KPI Engine (Final)'!D172</f>
        <v>1570</v>
      </c>
      <c r="P227" s="39"/>
      <c r="Q227" s="39"/>
      <c r="R227" s="57">
        <f>'KPI Engine (Final)'!E172</f>
        <v>10</v>
      </c>
      <c r="S227" s="39"/>
      <c r="T227" s="39"/>
      <c r="U227" s="57">
        <f>'KPI Engine (Final)'!F172</f>
        <v>3</v>
      </c>
      <c r="V227" s="39"/>
      <c r="W227" s="39"/>
      <c r="X227" s="73">
        <f>'KPI Engine (Final)'!G172</f>
        <v>0.99367088607594933</v>
      </c>
      <c r="Y227" s="39"/>
      <c r="Z227" s="39"/>
      <c r="AA227" s="39"/>
      <c r="AB227" s="39"/>
    </row>
    <row r="228" spans="1:28" ht="27" customHeight="1">
      <c r="B228" s="72" t="s">
        <v>108</v>
      </c>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row>
    <row r="229" spans="1:28" ht="27" customHeight="1">
      <c r="B229" s="72" t="s">
        <v>109</v>
      </c>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row>
    <row r="230" spans="1:28">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 customHeight="1">
      <c r="B231" s="64" t="s">
        <v>209</v>
      </c>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row>
    <row r="232" spans="1:2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9.5" customHeight="1">
      <c r="A233" s="1"/>
      <c r="B233" s="69" t="s">
        <v>540</v>
      </c>
      <c r="C233" s="39"/>
      <c r="D233" s="39"/>
      <c r="E233" s="39"/>
      <c r="F233" s="39"/>
      <c r="G233" s="39"/>
      <c r="H233" s="39"/>
      <c r="I233" s="39"/>
      <c r="J233" s="39"/>
      <c r="K233" s="39"/>
      <c r="L233" s="39"/>
      <c r="M233" s="39"/>
      <c r="N233" s="39"/>
      <c r="O233" s="39"/>
      <c r="P233" s="39"/>
      <c r="Q233" s="39"/>
      <c r="R233" s="56" t="s">
        <v>523</v>
      </c>
      <c r="S233" s="39"/>
      <c r="T233" s="39"/>
      <c r="U233" s="39"/>
      <c r="V233" s="39"/>
      <c r="W233" s="39"/>
      <c r="X233" s="39"/>
      <c r="Y233" s="39"/>
      <c r="Z233" s="39"/>
      <c r="AA233" s="39"/>
      <c r="AB233" s="39"/>
    </row>
    <row r="235" spans="1:28" ht="15.75" customHeight="1">
      <c r="A235" s="1"/>
      <c r="B235" s="38" t="s">
        <v>524</v>
      </c>
      <c r="C235" s="39"/>
      <c r="D235" s="39"/>
      <c r="E235" s="39"/>
      <c r="F235" s="39"/>
      <c r="G235" s="39"/>
      <c r="H235" s="39"/>
      <c r="I235" s="39"/>
      <c r="J235" s="39"/>
      <c r="K235" s="38" t="s">
        <v>525</v>
      </c>
      <c r="L235" s="39"/>
      <c r="M235" s="39"/>
      <c r="N235" s="39"/>
      <c r="O235" s="39"/>
      <c r="P235" s="39"/>
      <c r="Q235" s="39"/>
      <c r="R235" s="39"/>
      <c r="S235" s="39"/>
      <c r="T235" s="38" t="s">
        <v>529</v>
      </c>
      <c r="U235" s="39"/>
      <c r="V235" s="39"/>
      <c r="W235" s="39"/>
      <c r="X235" s="39"/>
      <c r="Y235" s="39"/>
      <c r="Z235" s="39"/>
      <c r="AA235" s="39"/>
      <c r="AB235" s="39"/>
    </row>
    <row r="236" spans="1:28" ht="12.75" customHeight="1">
      <c r="A236" s="1"/>
      <c r="B236" s="47" t="str">
        <f>"Closed "&amp;TEXT('KPI Engine (Final)'!B234,"#,##0")&amp;" of "&amp;TEXT('KPI Engine (Final)'!D234,"#,##0")&amp;" (withdrawn excluded)"</f>
        <v>Closed 620 of 689 (withdrawn excluded)</v>
      </c>
      <c r="C236" s="39"/>
      <c r="D236" s="39"/>
      <c r="E236" s="39"/>
      <c r="F236" s="39"/>
      <c r="G236" s="39"/>
      <c r="H236" s="68">
        <f>'KPI Engine (Final)'!E234</f>
        <v>0.89985486211901311</v>
      </c>
      <c r="I236" s="39"/>
      <c r="J236" s="39"/>
      <c r="K236" s="47" t="str">
        <f>"Closed "&amp;TEXT('KPI Engine (Final)'!B235,"#,##0")&amp;" of "&amp;TEXT('KPI Engine (Final)'!D235,"#,##0")&amp;" (withdrawn excluded)"</f>
        <v>Closed 183 of 193 (withdrawn excluded)</v>
      </c>
      <c r="L236" s="39"/>
      <c r="M236" s="39"/>
      <c r="N236" s="39"/>
      <c r="O236" s="39"/>
      <c r="P236" s="39"/>
      <c r="Q236" s="68">
        <f>'KPI Engine (Final)'!E235</f>
        <v>0.94818652849740936</v>
      </c>
      <c r="R236" s="39"/>
      <c r="S236" s="39"/>
      <c r="T236" s="47" t="str">
        <f>"Closed "&amp;TEXT('KPI Engine (Final)'!B236,"#,##0")&amp;" of "&amp;TEXT('KPI Engine (Final)'!D236,"#,##0")&amp;" (withdrawn excluded)"</f>
        <v>Closed 109 of 118 (withdrawn excluded)</v>
      </c>
      <c r="U236" s="39"/>
      <c r="V236" s="39"/>
      <c r="W236" s="39"/>
      <c r="X236" s="39"/>
      <c r="Y236" s="39"/>
      <c r="Z236" s="68">
        <f>'KPI Engine (Final)'!E236</f>
        <v>0.92372881355932202</v>
      </c>
      <c r="AA236" s="39"/>
      <c r="AB236" s="39"/>
    </row>
    <row r="237" spans="1:28" ht="15" customHeight="1">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5" customHeight="1">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5" customHeight="1">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5" customHeight="1">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5" customHeight="1">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5" customHeight="1">
      <c r="A242" s="1"/>
      <c r="B242" s="82">
        <f>'KPI Engine (Final)'!E234</f>
        <v>0.89985486211901311</v>
      </c>
      <c r="C242" s="83"/>
      <c r="D242" s="83"/>
      <c r="E242" s="83"/>
      <c r="F242" s="83"/>
      <c r="G242" s="83"/>
      <c r="H242" s="83"/>
      <c r="I242" s="83"/>
      <c r="J242" s="83"/>
      <c r="K242" s="82">
        <f>'KPI Engine (Final)'!E235</f>
        <v>0.94818652849740936</v>
      </c>
      <c r="L242" s="83"/>
      <c r="M242" s="83"/>
      <c r="N242" s="83"/>
      <c r="O242" s="83"/>
      <c r="P242" s="83"/>
      <c r="Q242" s="83"/>
      <c r="R242" s="83"/>
      <c r="S242" s="83"/>
      <c r="T242" s="3"/>
      <c r="U242" s="3"/>
      <c r="V242" s="82">
        <f>'KPI Engine (Final)'!E236</f>
        <v>0.92372881355932202</v>
      </c>
      <c r="W242" s="83"/>
      <c r="X242" s="83"/>
      <c r="Y242" s="83"/>
      <c r="Z242" s="83"/>
      <c r="AA242" s="3"/>
      <c r="AB242" s="3"/>
    </row>
    <row r="243" spans="1:28" ht="15" customHeight="1">
      <c r="A243" s="1"/>
      <c r="B243" s="83"/>
      <c r="C243" s="83"/>
      <c r="D243" s="83"/>
      <c r="E243" s="83"/>
      <c r="F243" s="83"/>
      <c r="G243" s="83"/>
      <c r="H243" s="83"/>
      <c r="I243" s="83"/>
      <c r="J243" s="83"/>
      <c r="K243" s="83"/>
      <c r="L243" s="83"/>
      <c r="M243" s="83"/>
      <c r="N243" s="83"/>
      <c r="O243" s="83"/>
      <c r="P243" s="83"/>
      <c r="Q243" s="83"/>
      <c r="R243" s="83"/>
      <c r="S243" s="83"/>
      <c r="T243" s="3"/>
      <c r="U243" s="3"/>
      <c r="V243" s="83"/>
      <c r="W243" s="83"/>
      <c r="X243" s="83"/>
      <c r="Y243" s="83"/>
      <c r="Z243" s="83"/>
      <c r="AA243" s="3"/>
      <c r="AB243" s="3"/>
    </row>
    <row r="244" spans="1:28" ht="15" customHeight="1">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5" customHeight="1">
      <c r="A245" s="1"/>
      <c r="B245" s="30" t="s">
        <v>527</v>
      </c>
      <c r="C245" s="3"/>
      <c r="D245" s="3"/>
      <c r="E245" s="3"/>
      <c r="F245" s="3"/>
      <c r="G245" s="3"/>
      <c r="H245" s="3"/>
      <c r="I245" s="3"/>
      <c r="J245" s="31" t="s">
        <v>528</v>
      </c>
      <c r="K245" s="3"/>
      <c r="L245" s="30" t="s">
        <v>527</v>
      </c>
      <c r="M245" s="3"/>
      <c r="N245" s="3"/>
      <c r="O245" s="3"/>
      <c r="P245" s="3"/>
      <c r="Q245" s="3"/>
      <c r="R245" s="3"/>
      <c r="S245" s="31" t="s">
        <v>528</v>
      </c>
      <c r="T245" s="3"/>
      <c r="U245" s="30" t="s">
        <v>527</v>
      </c>
      <c r="V245" s="3"/>
      <c r="W245" s="3"/>
      <c r="X245" s="3"/>
      <c r="Y245" s="3"/>
      <c r="Z245" s="3"/>
      <c r="AA245" s="31" t="s">
        <v>528</v>
      </c>
      <c r="AB245" s="3"/>
    </row>
    <row r="246" spans="1:28" ht="15" customHeight="1">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5" customHeight="1">
      <c r="A247" s="1"/>
      <c r="B247" s="84" t="s">
        <v>3</v>
      </c>
      <c r="C247" s="83"/>
      <c r="D247" s="83"/>
      <c r="E247" s="84" t="s">
        <v>8</v>
      </c>
      <c r="F247" s="83"/>
      <c r="G247" s="83"/>
      <c r="H247" s="84" t="s">
        <v>131</v>
      </c>
      <c r="I247" s="83"/>
      <c r="J247" s="83"/>
      <c r="K247" s="84" t="s">
        <v>3</v>
      </c>
      <c r="L247" s="83"/>
      <c r="M247" s="83"/>
      <c r="N247" s="84" t="s">
        <v>8</v>
      </c>
      <c r="O247" s="83"/>
      <c r="P247" s="83"/>
      <c r="Q247" s="84" t="s">
        <v>131</v>
      </c>
      <c r="R247" s="83"/>
      <c r="S247" s="83"/>
      <c r="T247" s="84" t="s">
        <v>3</v>
      </c>
      <c r="U247" s="83"/>
      <c r="V247" s="83"/>
      <c r="W247" s="84" t="s">
        <v>8</v>
      </c>
      <c r="X247" s="83"/>
      <c r="Y247" s="83"/>
      <c r="Z247" s="84" t="s">
        <v>131</v>
      </c>
      <c r="AA247" s="83"/>
      <c r="AB247" s="83"/>
    </row>
    <row r="248" spans="1:28" ht="15" customHeight="1">
      <c r="A248" s="1"/>
      <c r="B248" s="85">
        <f>'KPI Engine (Final)'!B234</f>
        <v>620</v>
      </c>
      <c r="C248" s="83"/>
      <c r="D248" s="83"/>
      <c r="E248" s="86">
        <f>'KPI Engine (Final)'!C234</f>
        <v>69</v>
      </c>
      <c r="F248" s="83"/>
      <c r="G248" s="83"/>
      <c r="H248" s="87">
        <f>'KPI Engine (Final)'!D234</f>
        <v>689</v>
      </c>
      <c r="I248" s="83"/>
      <c r="J248" s="83"/>
      <c r="K248" s="85">
        <f>'KPI Engine (Final)'!B235</f>
        <v>183</v>
      </c>
      <c r="L248" s="83"/>
      <c r="M248" s="83"/>
      <c r="N248" s="86">
        <f>'KPI Engine (Final)'!C235</f>
        <v>10</v>
      </c>
      <c r="O248" s="83"/>
      <c r="P248" s="83"/>
      <c r="Q248" s="87">
        <f>'KPI Engine (Final)'!D235</f>
        <v>193</v>
      </c>
      <c r="R248" s="83"/>
      <c r="S248" s="83"/>
      <c r="T248" s="85">
        <f>'KPI Engine (Final)'!B236</f>
        <v>109</v>
      </c>
      <c r="U248" s="83"/>
      <c r="V248" s="83"/>
      <c r="W248" s="86">
        <f>'KPI Engine (Final)'!C236</f>
        <v>9</v>
      </c>
      <c r="X248" s="83"/>
      <c r="Y248" s="83"/>
      <c r="Z248" s="87">
        <f>'KPI Engine (Final)'!D236</f>
        <v>118</v>
      </c>
      <c r="AA248" s="83"/>
      <c r="AB248" s="83"/>
    </row>
    <row r="249" spans="1:28" ht="15" customHeight="1">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5" customHeight="1">
      <c r="A250" s="1"/>
      <c r="B250" s="88" t="str">
        <f>"Dial zones:  red &lt; "&amp;'KPI Engine (Final)'!$B$200&amp;"%   |   amber "&amp;'KPI Engine (Final)'!$B$200&amp;"–"&amp;'KPI Engine (Final)'!$B$201&amp;"%   |   green ≥ "&amp;'KPI Engine (Final)'!$B$201&amp;"%"</f>
        <v>Dial zones:  red &lt; 75%   |   amber 75–90%   |   green ≥ 90%</v>
      </c>
      <c r="C250" s="83"/>
      <c r="D250" s="83"/>
      <c r="E250" s="83"/>
      <c r="F250" s="83"/>
      <c r="G250" s="83"/>
      <c r="H250" s="83"/>
      <c r="I250" s="83"/>
      <c r="J250" s="83"/>
      <c r="K250" s="88" t="str">
        <f>"Dial zones:  red &lt; "&amp;'KPI Engine (Final)'!$B$200&amp;"%   |   amber "&amp;'KPI Engine (Final)'!$B$200&amp;"–"&amp;'KPI Engine (Final)'!$B$201&amp;"%   |   green ≥ "&amp;'KPI Engine (Final)'!$B$201&amp;"%"</f>
        <v>Dial zones:  red &lt; 75%   |   amber 75–90%   |   green ≥ 90%</v>
      </c>
      <c r="L250" s="83"/>
      <c r="M250" s="83"/>
      <c r="N250" s="83"/>
      <c r="O250" s="83"/>
      <c r="P250" s="83"/>
      <c r="Q250" s="83"/>
      <c r="R250" s="83"/>
      <c r="S250" s="83"/>
      <c r="T250" s="88" t="str">
        <f>"Dial zones:  red &lt; "&amp;'KPI Engine (Final)'!$B$200&amp;"%   |   amber "&amp;'KPI Engine (Final)'!$B$200&amp;"–"&amp;'KPI Engine (Final)'!$B$201&amp;"%   |   green ≥ "&amp;'KPI Engine (Final)'!$B$201&amp;"%"</f>
        <v>Dial zones:  red &lt; 75%   |   amber 75–90%   |   green ≥ 90%</v>
      </c>
      <c r="U250" s="83"/>
      <c r="V250" s="83"/>
      <c r="W250" s="83"/>
      <c r="X250" s="83"/>
      <c r="Y250" s="83"/>
      <c r="Z250" s="83"/>
      <c r="AA250" s="83"/>
      <c r="AB250" s="83"/>
    </row>
    <row r="251" spans="1:28" ht="15" customHeight="1">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5" customHeight="1">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customHeight="1">
      <c r="A254" s="1"/>
      <c r="B254" s="38" t="s">
        <v>541</v>
      </c>
      <c r="C254" s="39"/>
      <c r="D254" s="39"/>
      <c r="E254" s="39"/>
      <c r="F254" s="39"/>
      <c r="G254" s="39"/>
      <c r="H254" s="39"/>
      <c r="I254" s="39"/>
      <c r="J254" s="39"/>
      <c r="K254" s="38" t="s">
        <v>542</v>
      </c>
      <c r="L254" s="39"/>
      <c r="M254" s="39"/>
      <c r="N254" s="39"/>
      <c r="O254" s="39"/>
      <c r="P254" s="39"/>
      <c r="Q254" s="39"/>
      <c r="R254" s="39"/>
      <c r="S254" s="39"/>
      <c r="T254" s="38" t="s">
        <v>543</v>
      </c>
      <c r="U254" s="39"/>
      <c r="V254" s="39"/>
      <c r="W254" s="39"/>
      <c r="X254" s="39"/>
      <c r="Y254" s="39"/>
      <c r="Z254" s="39"/>
      <c r="AA254" s="39"/>
      <c r="AB254" s="39"/>
    </row>
    <row r="255" spans="1:28" ht="12.75" customHeight="1">
      <c r="A255" s="1"/>
      <c r="B255" s="47" t="str">
        <f>"Closed "&amp;TEXT('KPI Engine (Final)'!B237,"#,##0")&amp;" of "&amp;TEXT('KPI Engine (Final)'!D237,"#,##0")&amp;" (withdrawn excluded)"</f>
        <v>Closed 14 of 14 (withdrawn excluded)</v>
      </c>
      <c r="C255" s="39"/>
      <c r="D255" s="39"/>
      <c r="E255" s="39"/>
      <c r="F255" s="39"/>
      <c r="G255" s="39"/>
      <c r="H255" s="68">
        <f>'KPI Engine (Final)'!E237</f>
        <v>1</v>
      </c>
      <c r="I255" s="39"/>
      <c r="J255" s="39"/>
      <c r="K255" s="47" t="str">
        <f>"Closed "&amp;TEXT('KPI Engine (Final)'!B238,"#,##0")&amp;" of "&amp;TEXT('KPI Engine (Final)'!D238,"#,##0")&amp;" (withdrawn excluded)"</f>
        <v>Closed 4 of 4 (withdrawn excluded)</v>
      </c>
      <c r="L255" s="39"/>
      <c r="M255" s="39"/>
      <c r="N255" s="39"/>
      <c r="O255" s="39"/>
      <c r="P255" s="39"/>
      <c r="Q255" s="68">
        <f>'KPI Engine (Final)'!E238</f>
        <v>1</v>
      </c>
      <c r="R255" s="39"/>
      <c r="S255" s="39"/>
      <c r="T255" s="47" t="str">
        <f>"Closed "&amp;TEXT('KPI Engine (Final)'!B239,"#,##0")&amp;" of "&amp;TEXT('KPI Engine (Final)'!D239,"#,##0")&amp;" (withdrawn excluded)"</f>
        <v>Closed 2 of 2 (withdrawn excluded)</v>
      </c>
      <c r="U255" s="39"/>
      <c r="V255" s="39"/>
      <c r="W255" s="39"/>
      <c r="X255" s="39"/>
      <c r="Y255" s="39"/>
      <c r="Z255" s="68">
        <f>'KPI Engine (Final)'!E239</f>
        <v>1</v>
      </c>
      <c r="AA255" s="39"/>
      <c r="AB255" s="39"/>
    </row>
    <row r="256" spans="1:28" ht="15" customHeight="1">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5" customHeight="1">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5" customHeight="1">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5" customHeight="1">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5" customHeight="1">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5" customHeight="1">
      <c r="A261" s="1"/>
      <c r="B261" s="82">
        <f>'KPI Engine (Final)'!E237</f>
        <v>1</v>
      </c>
      <c r="C261" s="83"/>
      <c r="D261" s="83"/>
      <c r="E261" s="83"/>
      <c r="F261" s="83"/>
      <c r="G261" s="83"/>
      <c r="H261" s="83"/>
      <c r="I261" s="83"/>
      <c r="J261" s="83"/>
      <c r="K261" s="82">
        <f>'KPI Engine (Final)'!E238</f>
        <v>1</v>
      </c>
      <c r="L261" s="83"/>
      <c r="M261" s="83"/>
      <c r="N261" s="83"/>
      <c r="O261" s="83"/>
      <c r="P261" s="83"/>
      <c r="Q261" s="83"/>
      <c r="R261" s="83"/>
      <c r="S261" s="83"/>
      <c r="T261" s="3"/>
      <c r="U261" s="3"/>
      <c r="V261" s="82">
        <f>'KPI Engine (Final)'!E239</f>
        <v>1</v>
      </c>
      <c r="W261" s="83"/>
      <c r="X261" s="83"/>
      <c r="Y261" s="83"/>
      <c r="Z261" s="83"/>
      <c r="AA261" s="3"/>
      <c r="AB261" s="3"/>
    </row>
    <row r="262" spans="1:28" ht="15" customHeight="1">
      <c r="A262" s="1"/>
      <c r="B262" s="83"/>
      <c r="C262" s="83"/>
      <c r="D262" s="83"/>
      <c r="E262" s="83"/>
      <c r="F262" s="83"/>
      <c r="G262" s="83"/>
      <c r="H262" s="83"/>
      <c r="I262" s="83"/>
      <c r="J262" s="83"/>
      <c r="K262" s="83"/>
      <c r="L262" s="83"/>
      <c r="M262" s="83"/>
      <c r="N262" s="83"/>
      <c r="O262" s="83"/>
      <c r="P262" s="83"/>
      <c r="Q262" s="83"/>
      <c r="R262" s="83"/>
      <c r="S262" s="83"/>
      <c r="T262" s="3"/>
      <c r="U262" s="3"/>
      <c r="V262" s="83"/>
      <c r="W262" s="83"/>
      <c r="X262" s="83"/>
      <c r="Y262" s="83"/>
      <c r="Z262" s="83"/>
      <c r="AA262" s="3"/>
      <c r="AB262" s="3"/>
    </row>
    <row r="263" spans="1:28" ht="15" customHeight="1">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5" customHeight="1">
      <c r="A264" s="1"/>
      <c r="B264" s="30" t="s">
        <v>527</v>
      </c>
      <c r="C264" s="3"/>
      <c r="D264" s="3"/>
      <c r="E264" s="3"/>
      <c r="F264" s="3"/>
      <c r="G264" s="3"/>
      <c r="H264" s="3"/>
      <c r="I264" s="3"/>
      <c r="J264" s="31" t="s">
        <v>528</v>
      </c>
      <c r="K264" s="3"/>
      <c r="L264" s="30" t="s">
        <v>527</v>
      </c>
      <c r="M264" s="3"/>
      <c r="N264" s="3"/>
      <c r="O264" s="3"/>
      <c r="P264" s="3"/>
      <c r="Q264" s="3"/>
      <c r="R264" s="3"/>
      <c r="S264" s="31" t="s">
        <v>528</v>
      </c>
      <c r="T264" s="3"/>
      <c r="U264" s="30" t="s">
        <v>527</v>
      </c>
      <c r="V264" s="3"/>
      <c r="W264" s="3"/>
      <c r="X264" s="3"/>
      <c r="Y264" s="3"/>
      <c r="Z264" s="3"/>
      <c r="AA264" s="31" t="s">
        <v>528</v>
      </c>
      <c r="AB264" s="3"/>
    </row>
    <row r="265" spans="1:28" ht="15" customHeight="1">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5" customHeight="1">
      <c r="A266" s="1"/>
      <c r="B266" s="84" t="s">
        <v>3</v>
      </c>
      <c r="C266" s="83"/>
      <c r="D266" s="83"/>
      <c r="E266" s="84" t="s">
        <v>8</v>
      </c>
      <c r="F266" s="83"/>
      <c r="G266" s="83"/>
      <c r="H266" s="84" t="s">
        <v>131</v>
      </c>
      <c r="I266" s="83"/>
      <c r="J266" s="83"/>
      <c r="K266" s="84" t="s">
        <v>3</v>
      </c>
      <c r="L266" s="83"/>
      <c r="M266" s="83"/>
      <c r="N266" s="84" t="s">
        <v>8</v>
      </c>
      <c r="O266" s="83"/>
      <c r="P266" s="83"/>
      <c r="Q266" s="84" t="s">
        <v>131</v>
      </c>
      <c r="R266" s="83"/>
      <c r="S266" s="83"/>
      <c r="T266" s="84" t="s">
        <v>3</v>
      </c>
      <c r="U266" s="83"/>
      <c r="V266" s="83"/>
      <c r="W266" s="84" t="s">
        <v>8</v>
      </c>
      <c r="X266" s="83"/>
      <c r="Y266" s="83"/>
      <c r="Z266" s="84" t="s">
        <v>131</v>
      </c>
      <c r="AA266" s="83"/>
      <c r="AB266" s="83"/>
    </row>
    <row r="267" spans="1:28" ht="15" customHeight="1">
      <c r="A267" s="1"/>
      <c r="B267" s="85">
        <f>'KPI Engine (Final)'!B237</f>
        <v>14</v>
      </c>
      <c r="C267" s="83"/>
      <c r="D267" s="83"/>
      <c r="E267" s="86">
        <f>'KPI Engine (Final)'!C237</f>
        <v>0</v>
      </c>
      <c r="F267" s="83"/>
      <c r="G267" s="83"/>
      <c r="H267" s="87">
        <f>'KPI Engine (Final)'!D237</f>
        <v>14</v>
      </c>
      <c r="I267" s="83"/>
      <c r="J267" s="83"/>
      <c r="K267" s="85">
        <f>'KPI Engine (Final)'!B238</f>
        <v>4</v>
      </c>
      <c r="L267" s="83"/>
      <c r="M267" s="83"/>
      <c r="N267" s="86">
        <f>'KPI Engine (Final)'!C238</f>
        <v>0</v>
      </c>
      <c r="O267" s="83"/>
      <c r="P267" s="83"/>
      <c r="Q267" s="87">
        <f>'KPI Engine (Final)'!D238</f>
        <v>4</v>
      </c>
      <c r="R267" s="83"/>
      <c r="S267" s="83"/>
      <c r="T267" s="85">
        <f>'KPI Engine (Final)'!B239</f>
        <v>2</v>
      </c>
      <c r="U267" s="83"/>
      <c r="V267" s="83"/>
      <c r="W267" s="86">
        <f>'KPI Engine (Final)'!C239</f>
        <v>0</v>
      </c>
      <c r="X267" s="83"/>
      <c r="Y267" s="83"/>
      <c r="Z267" s="87">
        <f>'KPI Engine (Final)'!D239</f>
        <v>2</v>
      </c>
      <c r="AA267" s="83"/>
      <c r="AB267" s="83"/>
    </row>
    <row r="268" spans="1:28" ht="15" customHeight="1">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5" customHeight="1">
      <c r="A269" s="1"/>
      <c r="B269" s="88" t="str">
        <f>"Dial zones:  red &lt; "&amp;'KPI Engine (Final)'!$B$200&amp;"%   |   amber "&amp;'KPI Engine (Final)'!$B$200&amp;"–"&amp;'KPI Engine (Final)'!$B$201&amp;"%   |   green ≥ "&amp;'KPI Engine (Final)'!$B$201&amp;"%"</f>
        <v>Dial zones:  red &lt; 75%   |   amber 75–90%   |   green ≥ 90%</v>
      </c>
      <c r="C269" s="83"/>
      <c r="D269" s="83"/>
      <c r="E269" s="83"/>
      <c r="F269" s="83"/>
      <c r="G269" s="83"/>
      <c r="H269" s="83"/>
      <c r="I269" s="83"/>
      <c r="J269" s="83"/>
      <c r="K269" s="88" t="str">
        <f>"Dial zones:  red &lt; "&amp;'KPI Engine (Final)'!$B$200&amp;"%   |   amber "&amp;'KPI Engine (Final)'!$B$200&amp;"–"&amp;'KPI Engine (Final)'!$B$201&amp;"%   |   green ≥ "&amp;'KPI Engine (Final)'!$B$201&amp;"%"</f>
        <v>Dial zones:  red &lt; 75%   |   amber 75–90%   |   green ≥ 90%</v>
      </c>
      <c r="L269" s="83"/>
      <c r="M269" s="83"/>
      <c r="N269" s="83"/>
      <c r="O269" s="83"/>
      <c r="P269" s="83"/>
      <c r="Q269" s="83"/>
      <c r="R269" s="83"/>
      <c r="S269" s="83"/>
      <c r="T269" s="88" t="str">
        <f>"Dial zones:  red &lt; "&amp;'KPI Engine (Final)'!$B$200&amp;"%   |   amber "&amp;'KPI Engine (Final)'!$B$200&amp;"–"&amp;'KPI Engine (Final)'!$B$201&amp;"%   |   green ≥ "&amp;'KPI Engine (Final)'!$B$201&amp;"%"</f>
        <v>Dial zones:  red &lt; 75%   |   amber 75–90%   |   green ≥ 90%</v>
      </c>
      <c r="U269" s="83"/>
      <c r="V269" s="83"/>
      <c r="W269" s="83"/>
      <c r="X269" s="83"/>
      <c r="Y269" s="83"/>
      <c r="Z269" s="83"/>
      <c r="AA269" s="83"/>
      <c r="AB269" s="83"/>
    </row>
    <row r="270" spans="1:28" ht="15" customHeight="1">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5" customHeight="1">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customHeight="1">
      <c r="A273" s="1"/>
      <c r="B273" s="38" t="s">
        <v>544</v>
      </c>
      <c r="C273" s="39"/>
      <c r="D273" s="39"/>
      <c r="E273" s="39"/>
      <c r="F273" s="39"/>
      <c r="G273" s="39"/>
      <c r="H273" s="39"/>
      <c r="I273" s="39"/>
      <c r="J273" s="39"/>
      <c r="K273" s="38" t="s">
        <v>545</v>
      </c>
      <c r="L273" s="39"/>
      <c r="M273" s="39"/>
      <c r="N273" s="39"/>
      <c r="O273" s="39"/>
      <c r="P273" s="39"/>
      <c r="Q273" s="39"/>
      <c r="R273" s="39"/>
      <c r="S273" s="39"/>
      <c r="T273" s="38" t="s">
        <v>546</v>
      </c>
      <c r="U273" s="39"/>
      <c r="V273" s="39"/>
      <c r="W273" s="39"/>
      <c r="X273" s="39"/>
      <c r="Y273" s="39"/>
      <c r="Z273" s="39"/>
      <c r="AA273" s="39"/>
      <c r="AB273" s="39"/>
    </row>
    <row r="274" spans="1:28" ht="12.75" customHeight="1">
      <c r="A274" s="1"/>
      <c r="B274" s="47" t="str">
        <f>"Closed "&amp;TEXT('KPI Engine (Final)'!B240,"#,##0")&amp;" of "&amp;TEXT('KPI Engine (Final)'!D240,"#,##0")&amp;" (withdrawn excluded)"</f>
        <v>Closed 432 of 484 (withdrawn excluded)</v>
      </c>
      <c r="C274" s="39"/>
      <c r="D274" s="39"/>
      <c r="E274" s="39"/>
      <c r="F274" s="39"/>
      <c r="G274" s="39"/>
      <c r="H274" s="68">
        <f>'KPI Engine (Final)'!E240</f>
        <v>0.8925619834710744</v>
      </c>
      <c r="I274" s="39"/>
      <c r="J274" s="39"/>
      <c r="K274" s="47" t="str">
        <f>"Closed "&amp;TEXT('KPI Engine (Final)'!B241,"#,##0")&amp;" of "&amp;TEXT('KPI Engine (Final)'!D241,"#,##0")&amp;" (withdrawn excluded)"</f>
        <v>Closed 83 of 84 (withdrawn excluded)</v>
      </c>
      <c r="L274" s="39"/>
      <c r="M274" s="39"/>
      <c r="N274" s="39"/>
      <c r="O274" s="39"/>
      <c r="P274" s="39"/>
      <c r="Q274" s="68">
        <f>'KPI Engine (Final)'!E241</f>
        <v>0.98809523809523814</v>
      </c>
      <c r="R274" s="39"/>
      <c r="S274" s="39"/>
      <c r="T274" s="47" t="str">
        <f>"Closed "&amp;TEXT('KPI Engine (Final)'!B242,"#,##0")&amp;" of "&amp;TEXT('KPI Engine (Final)'!D242,"#,##0")&amp;" (withdrawn excluded)"</f>
        <v>Closed 91 of 96 (withdrawn excluded)</v>
      </c>
      <c r="U274" s="39"/>
      <c r="V274" s="39"/>
      <c r="W274" s="39"/>
      <c r="X274" s="39"/>
      <c r="Y274" s="39"/>
      <c r="Z274" s="68">
        <f>'KPI Engine (Final)'!E242</f>
        <v>0.94791666666666663</v>
      </c>
      <c r="AA274" s="39"/>
      <c r="AB274" s="39"/>
    </row>
    <row r="275" spans="1:28" ht="15" customHeight="1">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5" customHeight="1">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5" customHeight="1">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5" customHeight="1">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5" customHeight="1">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5" customHeight="1">
      <c r="A280" s="1"/>
      <c r="B280" s="82">
        <f>'KPI Engine (Final)'!E240</f>
        <v>0.8925619834710744</v>
      </c>
      <c r="C280" s="83"/>
      <c r="D280" s="83"/>
      <c r="E280" s="83"/>
      <c r="F280" s="83"/>
      <c r="G280" s="83"/>
      <c r="H280" s="83"/>
      <c r="I280" s="83"/>
      <c r="J280" s="83"/>
      <c r="K280" s="82">
        <f>'KPI Engine (Final)'!E241</f>
        <v>0.98809523809523814</v>
      </c>
      <c r="L280" s="83"/>
      <c r="M280" s="83"/>
      <c r="N280" s="83"/>
      <c r="O280" s="83"/>
      <c r="P280" s="83"/>
      <c r="Q280" s="83"/>
      <c r="R280" s="83"/>
      <c r="S280" s="83"/>
      <c r="T280" s="3"/>
      <c r="U280" s="3"/>
      <c r="V280" s="82">
        <f>'KPI Engine (Final)'!E242</f>
        <v>0.94791666666666663</v>
      </c>
      <c r="W280" s="83"/>
      <c r="X280" s="83"/>
      <c r="Y280" s="83"/>
      <c r="Z280" s="83"/>
      <c r="AA280" s="3"/>
      <c r="AB280" s="3"/>
    </row>
    <row r="281" spans="1:28" ht="15" customHeight="1">
      <c r="A281" s="1"/>
      <c r="B281" s="83"/>
      <c r="C281" s="83"/>
      <c r="D281" s="83"/>
      <c r="E281" s="83"/>
      <c r="F281" s="83"/>
      <c r="G281" s="83"/>
      <c r="H281" s="83"/>
      <c r="I281" s="83"/>
      <c r="J281" s="83"/>
      <c r="K281" s="83"/>
      <c r="L281" s="83"/>
      <c r="M281" s="83"/>
      <c r="N281" s="83"/>
      <c r="O281" s="83"/>
      <c r="P281" s="83"/>
      <c r="Q281" s="83"/>
      <c r="R281" s="83"/>
      <c r="S281" s="83"/>
      <c r="T281" s="3"/>
      <c r="U281" s="3"/>
      <c r="V281" s="83"/>
      <c r="W281" s="83"/>
      <c r="X281" s="83"/>
      <c r="Y281" s="83"/>
      <c r="Z281" s="83"/>
      <c r="AA281" s="3"/>
      <c r="AB281" s="3"/>
    </row>
    <row r="282" spans="1:28" ht="15" customHeight="1">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5" customHeight="1">
      <c r="A283" s="1"/>
      <c r="B283" s="30" t="s">
        <v>527</v>
      </c>
      <c r="C283" s="3"/>
      <c r="D283" s="3"/>
      <c r="E283" s="3"/>
      <c r="F283" s="3"/>
      <c r="G283" s="3"/>
      <c r="H283" s="3"/>
      <c r="I283" s="3"/>
      <c r="J283" s="31" t="s">
        <v>528</v>
      </c>
      <c r="K283" s="3"/>
      <c r="L283" s="30" t="s">
        <v>527</v>
      </c>
      <c r="M283" s="3"/>
      <c r="N283" s="3"/>
      <c r="O283" s="3"/>
      <c r="P283" s="3"/>
      <c r="Q283" s="3"/>
      <c r="R283" s="3"/>
      <c r="S283" s="31" t="s">
        <v>528</v>
      </c>
      <c r="T283" s="3"/>
      <c r="U283" s="30" t="s">
        <v>527</v>
      </c>
      <c r="V283" s="3"/>
      <c r="W283" s="3"/>
      <c r="X283" s="3"/>
      <c r="Y283" s="3"/>
      <c r="Z283" s="3"/>
      <c r="AA283" s="31" t="s">
        <v>528</v>
      </c>
      <c r="AB283" s="3"/>
    </row>
    <row r="284" spans="1:28" ht="15" customHeight="1">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5" customHeight="1">
      <c r="A285" s="1"/>
      <c r="B285" s="84" t="s">
        <v>3</v>
      </c>
      <c r="C285" s="83"/>
      <c r="D285" s="83"/>
      <c r="E285" s="84" t="s">
        <v>8</v>
      </c>
      <c r="F285" s="83"/>
      <c r="G285" s="83"/>
      <c r="H285" s="84" t="s">
        <v>131</v>
      </c>
      <c r="I285" s="83"/>
      <c r="J285" s="83"/>
      <c r="K285" s="84" t="s">
        <v>3</v>
      </c>
      <c r="L285" s="83"/>
      <c r="M285" s="83"/>
      <c r="N285" s="84" t="s">
        <v>8</v>
      </c>
      <c r="O285" s="83"/>
      <c r="P285" s="83"/>
      <c r="Q285" s="84" t="s">
        <v>131</v>
      </c>
      <c r="R285" s="83"/>
      <c r="S285" s="83"/>
      <c r="T285" s="84" t="s">
        <v>3</v>
      </c>
      <c r="U285" s="83"/>
      <c r="V285" s="83"/>
      <c r="W285" s="84" t="s">
        <v>8</v>
      </c>
      <c r="X285" s="83"/>
      <c r="Y285" s="83"/>
      <c r="Z285" s="84" t="s">
        <v>131</v>
      </c>
      <c r="AA285" s="83"/>
      <c r="AB285" s="83"/>
    </row>
    <row r="286" spans="1:28" ht="15" customHeight="1">
      <c r="A286" s="1"/>
      <c r="B286" s="85">
        <f>'KPI Engine (Final)'!B240</f>
        <v>432</v>
      </c>
      <c r="C286" s="83"/>
      <c r="D286" s="83"/>
      <c r="E286" s="86">
        <f>'KPI Engine (Final)'!C240</f>
        <v>52</v>
      </c>
      <c r="F286" s="83"/>
      <c r="G286" s="83"/>
      <c r="H286" s="87">
        <f>'KPI Engine (Final)'!D240</f>
        <v>484</v>
      </c>
      <c r="I286" s="83"/>
      <c r="J286" s="83"/>
      <c r="K286" s="85">
        <f>'KPI Engine (Final)'!B241</f>
        <v>83</v>
      </c>
      <c r="L286" s="83"/>
      <c r="M286" s="83"/>
      <c r="N286" s="86">
        <f>'KPI Engine (Final)'!C241</f>
        <v>1</v>
      </c>
      <c r="O286" s="83"/>
      <c r="P286" s="83"/>
      <c r="Q286" s="87">
        <f>'KPI Engine (Final)'!D241</f>
        <v>84</v>
      </c>
      <c r="R286" s="83"/>
      <c r="S286" s="83"/>
      <c r="T286" s="85">
        <f>'KPI Engine (Final)'!B242</f>
        <v>91</v>
      </c>
      <c r="U286" s="83"/>
      <c r="V286" s="83"/>
      <c r="W286" s="86">
        <f>'KPI Engine (Final)'!C242</f>
        <v>5</v>
      </c>
      <c r="X286" s="83"/>
      <c r="Y286" s="83"/>
      <c r="Z286" s="87">
        <f>'KPI Engine (Final)'!D242</f>
        <v>96</v>
      </c>
      <c r="AA286" s="83"/>
      <c r="AB286" s="83"/>
    </row>
    <row r="287" spans="1:28" ht="15" customHeight="1">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5" customHeight="1">
      <c r="A288" s="1"/>
      <c r="B288" s="88" t="str">
        <f>"Dial zones:  red &lt; "&amp;'KPI Engine (Final)'!$B$200&amp;"%   |   amber "&amp;'KPI Engine (Final)'!$B$200&amp;"–"&amp;'KPI Engine (Final)'!$B$201&amp;"%   |   green ≥ "&amp;'KPI Engine (Final)'!$B$201&amp;"%"</f>
        <v>Dial zones:  red &lt; 75%   |   amber 75–90%   |   green ≥ 90%</v>
      </c>
      <c r="C288" s="83"/>
      <c r="D288" s="83"/>
      <c r="E288" s="83"/>
      <c r="F288" s="83"/>
      <c r="G288" s="83"/>
      <c r="H288" s="83"/>
      <c r="I288" s="83"/>
      <c r="J288" s="83"/>
      <c r="K288" s="88" t="str">
        <f>"Dial zones:  red &lt; "&amp;'KPI Engine (Final)'!$B$200&amp;"%   |   amber "&amp;'KPI Engine (Final)'!$B$200&amp;"–"&amp;'KPI Engine (Final)'!$B$201&amp;"%   |   green ≥ "&amp;'KPI Engine (Final)'!$B$201&amp;"%"</f>
        <v>Dial zones:  red &lt; 75%   |   amber 75–90%   |   green ≥ 90%</v>
      </c>
      <c r="L288" s="83"/>
      <c r="M288" s="83"/>
      <c r="N288" s="83"/>
      <c r="O288" s="83"/>
      <c r="P288" s="83"/>
      <c r="Q288" s="83"/>
      <c r="R288" s="83"/>
      <c r="S288" s="83"/>
      <c r="T288" s="88" t="str">
        <f>"Dial zones:  red &lt; "&amp;'KPI Engine (Final)'!$B$200&amp;"%   |   amber "&amp;'KPI Engine (Final)'!$B$200&amp;"–"&amp;'KPI Engine (Final)'!$B$201&amp;"%   |   green ≥ "&amp;'KPI Engine (Final)'!$B$201&amp;"%"</f>
        <v>Dial zones:  red &lt; 75%   |   amber 75–90%   |   green ≥ 90%</v>
      </c>
      <c r="U288" s="83"/>
      <c r="V288" s="83"/>
      <c r="W288" s="83"/>
      <c r="X288" s="83"/>
      <c r="Y288" s="83"/>
      <c r="Z288" s="83"/>
      <c r="AA288" s="83"/>
      <c r="AB288" s="83"/>
    </row>
    <row r="289" spans="1:28" ht="15" customHeight="1">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5" customHeight="1">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customHeight="1">
      <c r="A292" s="1"/>
      <c r="B292" s="38" t="s">
        <v>547</v>
      </c>
      <c r="C292" s="39"/>
      <c r="D292" s="39"/>
      <c r="E292" s="39"/>
      <c r="F292" s="39"/>
      <c r="G292" s="39"/>
      <c r="H292" s="39"/>
      <c r="I292" s="39"/>
      <c r="J292" s="39"/>
      <c r="K292" s="38" t="s">
        <v>548</v>
      </c>
      <c r="L292" s="39"/>
      <c r="M292" s="39"/>
      <c r="N292" s="39"/>
      <c r="O292" s="39"/>
      <c r="P292" s="39"/>
      <c r="Q292" s="39"/>
      <c r="R292" s="39"/>
      <c r="S292" s="39"/>
      <c r="T292" s="1"/>
      <c r="U292" s="1"/>
      <c r="V292" s="1"/>
      <c r="W292" s="1"/>
      <c r="X292" s="1"/>
      <c r="Y292" s="1"/>
      <c r="Z292" s="1"/>
      <c r="AA292" s="1"/>
      <c r="AB292" s="1"/>
    </row>
    <row r="293" spans="1:28" ht="12.75" customHeight="1">
      <c r="A293" s="1"/>
      <c r="B293" s="47" t="str">
        <f>"Closed "&amp;TEXT('KPI Engine (Final)'!B243,"#,##0")&amp;" of "&amp;TEXT('KPI Engine (Final)'!D243,"#,##0")&amp;" (withdrawn excluded)"</f>
        <v>Closed 14 of 14 (withdrawn excluded)</v>
      </c>
      <c r="C293" s="39"/>
      <c r="D293" s="39"/>
      <c r="E293" s="39"/>
      <c r="F293" s="39"/>
      <c r="G293" s="39"/>
      <c r="H293" s="68">
        <f>'KPI Engine (Final)'!E243</f>
        <v>1</v>
      </c>
      <c r="I293" s="39"/>
      <c r="J293" s="39"/>
      <c r="K293" s="47" t="str">
        <f>"Closed "&amp;TEXT('KPI Engine (Final)'!B244,"#,##0")&amp;" of "&amp;TEXT('KPI Engine (Final)'!D244,"#,##0")&amp;" (withdrawn excluded)"</f>
        <v>Closed 31 of 31 (withdrawn excluded)</v>
      </c>
      <c r="L293" s="39"/>
      <c r="M293" s="39"/>
      <c r="N293" s="39"/>
      <c r="O293" s="39"/>
      <c r="P293" s="39"/>
      <c r="Q293" s="68">
        <f>'KPI Engine (Final)'!E244</f>
        <v>1</v>
      </c>
      <c r="R293" s="39"/>
      <c r="S293" s="39"/>
      <c r="T293" s="1"/>
      <c r="U293" s="1"/>
      <c r="V293" s="1"/>
      <c r="W293" s="1"/>
      <c r="X293" s="1"/>
      <c r="Y293" s="1"/>
      <c r="Z293" s="1"/>
      <c r="AA293" s="1"/>
      <c r="AB293" s="1"/>
    </row>
    <row r="294" spans="1:28" ht="15" customHeight="1">
      <c r="A294" s="1"/>
      <c r="B294" s="3"/>
      <c r="C294" s="3"/>
      <c r="D294" s="3"/>
      <c r="E294" s="3"/>
      <c r="F294" s="3"/>
      <c r="G294" s="3"/>
      <c r="H294" s="3"/>
      <c r="I294" s="3"/>
      <c r="J294" s="3"/>
      <c r="K294" s="3"/>
      <c r="L294" s="3"/>
      <c r="M294" s="3"/>
      <c r="N294" s="3"/>
      <c r="O294" s="3"/>
      <c r="P294" s="3"/>
      <c r="Q294" s="3"/>
      <c r="R294" s="3"/>
      <c r="S294" s="3"/>
      <c r="T294" s="1"/>
      <c r="U294" s="1"/>
      <c r="V294" s="1"/>
      <c r="W294" s="1"/>
      <c r="X294" s="1"/>
      <c r="Y294" s="1"/>
      <c r="Z294" s="1"/>
      <c r="AA294" s="1"/>
      <c r="AB294" s="1"/>
    </row>
    <row r="295" spans="1:28" ht="15" customHeight="1">
      <c r="A295" s="1"/>
      <c r="B295" s="3"/>
      <c r="C295" s="3"/>
      <c r="D295" s="3"/>
      <c r="E295" s="3"/>
      <c r="F295" s="3"/>
      <c r="G295" s="3"/>
      <c r="H295" s="3"/>
      <c r="I295" s="3"/>
      <c r="J295" s="3"/>
      <c r="K295" s="3"/>
      <c r="L295" s="3"/>
      <c r="M295" s="3"/>
      <c r="N295" s="3"/>
      <c r="O295" s="3"/>
      <c r="P295" s="3"/>
      <c r="Q295" s="3"/>
      <c r="R295" s="3"/>
      <c r="S295" s="3"/>
      <c r="T295" s="1"/>
      <c r="U295" s="1"/>
      <c r="V295" s="1"/>
      <c r="W295" s="1"/>
      <c r="X295" s="1"/>
      <c r="Y295" s="1"/>
      <c r="Z295" s="1"/>
      <c r="AA295" s="1"/>
      <c r="AB295" s="1"/>
    </row>
    <row r="296" spans="1:28" ht="15" customHeight="1">
      <c r="A296" s="1"/>
      <c r="B296" s="3"/>
      <c r="C296" s="3"/>
      <c r="D296" s="3"/>
      <c r="E296" s="3"/>
      <c r="F296" s="3"/>
      <c r="G296" s="3"/>
      <c r="H296" s="3"/>
      <c r="I296" s="3"/>
      <c r="J296" s="3"/>
      <c r="K296" s="3"/>
      <c r="L296" s="3"/>
      <c r="M296" s="3"/>
      <c r="N296" s="3"/>
      <c r="O296" s="3"/>
      <c r="P296" s="3"/>
      <c r="Q296" s="3"/>
      <c r="R296" s="3"/>
      <c r="S296" s="3"/>
      <c r="T296" s="1"/>
      <c r="U296" s="1"/>
      <c r="V296" s="1"/>
      <c r="W296" s="1"/>
      <c r="X296" s="1"/>
      <c r="Y296" s="1"/>
      <c r="Z296" s="1"/>
      <c r="AA296" s="1"/>
      <c r="AB296" s="1"/>
    </row>
    <row r="297" spans="1:28" ht="15" customHeight="1">
      <c r="A297" s="1"/>
      <c r="B297" s="3"/>
      <c r="C297" s="3"/>
      <c r="D297" s="3"/>
      <c r="E297" s="3"/>
      <c r="F297" s="3"/>
      <c r="G297" s="3"/>
      <c r="H297" s="3"/>
      <c r="I297" s="3"/>
      <c r="J297" s="3"/>
      <c r="K297" s="3"/>
      <c r="L297" s="3"/>
      <c r="M297" s="3"/>
      <c r="N297" s="3"/>
      <c r="O297" s="3"/>
      <c r="P297" s="3"/>
      <c r="Q297" s="3"/>
      <c r="R297" s="3"/>
      <c r="S297" s="3"/>
      <c r="T297" s="1"/>
      <c r="U297" s="1"/>
      <c r="V297" s="1"/>
      <c r="W297" s="1"/>
      <c r="X297" s="1"/>
      <c r="Y297" s="1"/>
      <c r="Z297" s="1"/>
      <c r="AA297" s="1"/>
      <c r="AB297" s="1"/>
    </row>
    <row r="298" spans="1:28" ht="15" customHeight="1">
      <c r="A298" s="1"/>
      <c r="B298" s="3"/>
      <c r="C298" s="3"/>
      <c r="D298" s="3"/>
      <c r="E298" s="3"/>
      <c r="F298" s="3"/>
      <c r="G298" s="3"/>
      <c r="H298" s="3"/>
      <c r="I298" s="3"/>
      <c r="J298" s="3"/>
      <c r="K298" s="3"/>
      <c r="L298" s="3"/>
      <c r="M298" s="3"/>
      <c r="N298" s="3"/>
      <c r="O298" s="3"/>
      <c r="P298" s="3"/>
      <c r="Q298" s="3"/>
      <c r="R298" s="3"/>
      <c r="S298" s="3"/>
      <c r="T298" s="1"/>
      <c r="U298" s="1"/>
      <c r="V298" s="1"/>
      <c r="W298" s="1"/>
      <c r="X298" s="1"/>
      <c r="Y298" s="1"/>
      <c r="Z298" s="1"/>
      <c r="AA298" s="1"/>
      <c r="AB298" s="1"/>
    </row>
    <row r="299" spans="1:28" ht="15" customHeight="1">
      <c r="A299" s="1"/>
      <c r="B299" s="82">
        <f>'KPI Engine (Final)'!E243</f>
        <v>1</v>
      </c>
      <c r="C299" s="83"/>
      <c r="D299" s="83"/>
      <c r="E299" s="83"/>
      <c r="F299" s="83"/>
      <c r="G299" s="83"/>
      <c r="H299" s="83"/>
      <c r="I299" s="83"/>
      <c r="J299" s="83"/>
      <c r="K299" s="82">
        <f>'KPI Engine (Final)'!E244</f>
        <v>1</v>
      </c>
      <c r="L299" s="83"/>
      <c r="M299" s="83"/>
      <c r="N299" s="83"/>
      <c r="O299" s="83"/>
      <c r="P299" s="83"/>
      <c r="Q299" s="83"/>
      <c r="R299" s="83"/>
      <c r="S299" s="83"/>
      <c r="T299" s="1"/>
      <c r="U299" s="1"/>
      <c r="V299" s="1"/>
      <c r="W299" s="1"/>
      <c r="X299" s="1"/>
      <c r="Y299" s="1"/>
      <c r="Z299" s="1"/>
      <c r="AA299" s="1"/>
      <c r="AB299" s="1"/>
    </row>
    <row r="300" spans="1:28" ht="15" customHeight="1">
      <c r="A300" s="1"/>
      <c r="B300" s="83"/>
      <c r="C300" s="83"/>
      <c r="D300" s="83"/>
      <c r="E300" s="83"/>
      <c r="F300" s="83"/>
      <c r="G300" s="83"/>
      <c r="H300" s="83"/>
      <c r="I300" s="83"/>
      <c r="J300" s="83"/>
      <c r="K300" s="83"/>
      <c r="L300" s="83"/>
      <c r="M300" s="83"/>
      <c r="N300" s="83"/>
      <c r="O300" s="83"/>
      <c r="P300" s="83"/>
      <c r="Q300" s="83"/>
      <c r="R300" s="83"/>
      <c r="S300" s="83"/>
      <c r="T300" s="1"/>
      <c r="U300" s="1"/>
      <c r="V300" s="1"/>
      <c r="W300" s="1"/>
      <c r="X300" s="1"/>
      <c r="Y300" s="1"/>
      <c r="Z300" s="1"/>
      <c r="AA300" s="1"/>
      <c r="AB300" s="1"/>
    </row>
    <row r="301" spans="1:28" ht="15" customHeight="1">
      <c r="A301" s="1"/>
      <c r="B301" s="3"/>
      <c r="C301" s="3"/>
      <c r="D301" s="3"/>
      <c r="E301" s="3"/>
      <c r="F301" s="3"/>
      <c r="G301" s="3"/>
      <c r="H301" s="3"/>
      <c r="I301" s="3"/>
      <c r="J301" s="3"/>
      <c r="K301" s="3"/>
      <c r="L301" s="3"/>
      <c r="M301" s="3"/>
      <c r="N301" s="3"/>
      <c r="O301" s="3"/>
      <c r="P301" s="3"/>
      <c r="Q301" s="3"/>
      <c r="R301" s="3"/>
      <c r="S301" s="3"/>
      <c r="T301" s="1"/>
      <c r="U301" s="1"/>
      <c r="V301" s="1"/>
      <c r="W301" s="1"/>
      <c r="X301" s="1"/>
      <c r="Y301" s="1"/>
      <c r="Z301" s="1"/>
      <c r="AA301" s="1"/>
      <c r="AB301" s="1"/>
    </row>
    <row r="302" spans="1:28" ht="15" customHeight="1">
      <c r="A302" s="1"/>
      <c r="B302" s="30" t="s">
        <v>527</v>
      </c>
      <c r="C302" s="3"/>
      <c r="D302" s="3"/>
      <c r="E302" s="3"/>
      <c r="F302" s="3"/>
      <c r="G302" s="3"/>
      <c r="H302" s="3"/>
      <c r="I302" s="3"/>
      <c r="J302" s="31" t="s">
        <v>528</v>
      </c>
      <c r="K302" s="3"/>
      <c r="L302" s="30" t="s">
        <v>527</v>
      </c>
      <c r="M302" s="3"/>
      <c r="N302" s="3"/>
      <c r="O302" s="3"/>
      <c r="P302" s="3"/>
      <c r="Q302" s="3"/>
      <c r="R302" s="3"/>
      <c r="S302" s="31" t="s">
        <v>528</v>
      </c>
      <c r="T302" s="1"/>
      <c r="U302" s="1"/>
      <c r="V302" s="1"/>
      <c r="W302" s="1"/>
      <c r="X302" s="1"/>
      <c r="Y302" s="1"/>
      <c r="Z302" s="1"/>
      <c r="AA302" s="1"/>
      <c r="AB302" s="1"/>
    </row>
    <row r="303" spans="1:28" ht="15" customHeight="1">
      <c r="A303" s="1"/>
      <c r="B303" s="3"/>
      <c r="C303" s="3"/>
      <c r="D303" s="3"/>
      <c r="E303" s="3"/>
      <c r="F303" s="3"/>
      <c r="G303" s="3"/>
      <c r="H303" s="3"/>
      <c r="I303" s="3"/>
      <c r="J303" s="3"/>
      <c r="K303" s="3"/>
      <c r="L303" s="3"/>
      <c r="M303" s="3"/>
      <c r="N303" s="3"/>
      <c r="O303" s="3"/>
      <c r="P303" s="3"/>
      <c r="Q303" s="3"/>
      <c r="R303" s="3"/>
      <c r="S303" s="3"/>
      <c r="T303" s="1"/>
      <c r="U303" s="1"/>
      <c r="V303" s="1"/>
      <c r="W303" s="1"/>
      <c r="X303" s="1"/>
      <c r="Y303" s="1"/>
      <c r="Z303" s="1"/>
      <c r="AA303" s="1"/>
      <c r="AB303" s="1"/>
    </row>
    <row r="304" spans="1:28" ht="15" customHeight="1">
      <c r="A304" s="1"/>
      <c r="B304" s="84" t="s">
        <v>3</v>
      </c>
      <c r="C304" s="83"/>
      <c r="D304" s="83"/>
      <c r="E304" s="84" t="s">
        <v>8</v>
      </c>
      <c r="F304" s="83"/>
      <c r="G304" s="83"/>
      <c r="H304" s="84" t="s">
        <v>131</v>
      </c>
      <c r="I304" s="83"/>
      <c r="J304" s="83"/>
      <c r="K304" s="84" t="s">
        <v>3</v>
      </c>
      <c r="L304" s="83"/>
      <c r="M304" s="83"/>
      <c r="N304" s="84" t="s">
        <v>8</v>
      </c>
      <c r="O304" s="83"/>
      <c r="P304" s="83"/>
      <c r="Q304" s="84" t="s">
        <v>131</v>
      </c>
      <c r="R304" s="83"/>
      <c r="S304" s="83"/>
      <c r="T304" s="1"/>
      <c r="U304" s="1"/>
      <c r="V304" s="1"/>
      <c r="W304" s="1"/>
      <c r="X304" s="1"/>
      <c r="Y304" s="1"/>
      <c r="Z304" s="1"/>
      <c r="AA304" s="1"/>
      <c r="AB304" s="1"/>
    </row>
    <row r="305" spans="1:28" ht="15" customHeight="1">
      <c r="A305" s="1"/>
      <c r="B305" s="85">
        <f>'KPI Engine (Final)'!B243</f>
        <v>14</v>
      </c>
      <c r="C305" s="83"/>
      <c r="D305" s="83"/>
      <c r="E305" s="86">
        <f>'KPI Engine (Final)'!C243</f>
        <v>0</v>
      </c>
      <c r="F305" s="83"/>
      <c r="G305" s="83"/>
      <c r="H305" s="87">
        <f>'KPI Engine (Final)'!D243</f>
        <v>14</v>
      </c>
      <c r="I305" s="83"/>
      <c r="J305" s="83"/>
      <c r="K305" s="85">
        <f>'KPI Engine (Final)'!B244</f>
        <v>31</v>
      </c>
      <c r="L305" s="83"/>
      <c r="M305" s="83"/>
      <c r="N305" s="86">
        <f>'KPI Engine (Final)'!C244</f>
        <v>0</v>
      </c>
      <c r="O305" s="83"/>
      <c r="P305" s="83"/>
      <c r="Q305" s="87">
        <f>'KPI Engine (Final)'!D244</f>
        <v>31</v>
      </c>
      <c r="R305" s="83"/>
      <c r="S305" s="83"/>
      <c r="T305" s="1"/>
      <c r="U305" s="1"/>
      <c r="V305" s="1"/>
      <c r="W305" s="1"/>
      <c r="X305" s="1"/>
      <c r="Y305" s="1"/>
      <c r="Z305" s="1"/>
      <c r="AA305" s="1"/>
      <c r="AB305" s="1"/>
    </row>
    <row r="306" spans="1:28" ht="15" customHeight="1">
      <c r="A306" s="1"/>
      <c r="B306" s="3"/>
      <c r="C306" s="3"/>
      <c r="D306" s="3"/>
      <c r="E306" s="3"/>
      <c r="F306" s="3"/>
      <c r="G306" s="3"/>
      <c r="H306" s="3"/>
      <c r="I306" s="3"/>
      <c r="J306" s="3"/>
      <c r="K306" s="3"/>
      <c r="L306" s="3"/>
      <c r="M306" s="3"/>
      <c r="N306" s="3"/>
      <c r="O306" s="3"/>
      <c r="P306" s="3"/>
      <c r="Q306" s="3"/>
      <c r="R306" s="3"/>
      <c r="S306" s="3"/>
      <c r="T306" s="1"/>
      <c r="U306" s="1"/>
      <c r="V306" s="1"/>
      <c r="W306" s="1"/>
      <c r="X306" s="1"/>
      <c r="Y306" s="1"/>
      <c r="Z306" s="1"/>
      <c r="AA306" s="1"/>
      <c r="AB306" s="1"/>
    </row>
    <row r="307" spans="1:28" ht="15" customHeight="1">
      <c r="A307" s="1"/>
      <c r="B307" s="88" t="str">
        <f>"Dial zones:  red &lt; "&amp;'KPI Engine (Final)'!$B$200&amp;"%   |   amber "&amp;'KPI Engine (Final)'!$B$200&amp;"–"&amp;'KPI Engine (Final)'!$B$201&amp;"%   |   green ≥ "&amp;'KPI Engine (Final)'!$B$201&amp;"%"</f>
        <v>Dial zones:  red &lt; 75%   |   amber 75–90%   |   green ≥ 90%</v>
      </c>
      <c r="C307" s="83"/>
      <c r="D307" s="83"/>
      <c r="E307" s="83"/>
      <c r="F307" s="83"/>
      <c r="G307" s="83"/>
      <c r="H307" s="83"/>
      <c r="I307" s="83"/>
      <c r="J307" s="83"/>
      <c r="K307" s="88" t="str">
        <f>"Dial zones:  red &lt; "&amp;'KPI Engine (Final)'!$B$200&amp;"%   |   amber "&amp;'KPI Engine (Final)'!$B$200&amp;"–"&amp;'KPI Engine (Final)'!$B$201&amp;"%   |   green ≥ "&amp;'KPI Engine (Final)'!$B$201&amp;"%"</f>
        <v>Dial zones:  red &lt; 75%   |   amber 75–90%   |   green ≥ 90%</v>
      </c>
      <c r="L307" s="83"/>
      <c r="M307" s="83"/>
      <c r="N307" s="83"/>
      <c r="O307" s="83"/>
      <c r="P307" s="83"/>
      <c r="Q307" s="83"/>
      <c r="R307" s="83"/>
      <c r="S307" s="83"/>
      <c r="T307" s="1"/>
      <c r="U307" s="1"/>
      <c r="V307" s="1"/>
      <c r="W307" s="1"/>
      <c r="X307" s="1"/>
      <c r="Y307" s="1"/>
      <c r="Z307" s="1"/>
      <c r="AA307" s="1"/>
      <c r="AB307" s="1"/>
    </row>
    <row r="308" spans="1:28" ht="15" customHeight="1">
      <c r="A308" s="1"/>
      <c r="B308" s="3"/>
      <c r="C308" s="3"/>
      <c r="D308" s="3"/>
      <c r="E308" s="3"/>
      <c r="F308" s="3"/>
      <c r="G308" s="3"/>
      <c r="H308" s="3"/>
      <c r="I308" s="3"/>
      <c r="J308" s="3"/>
      <c r="K308" s="3"/>
      <c r="L308" s="3"/>
      <c r="M308" s="3"/>
      <c r="N308" s="3"/>
      <c r="O308" s="3"/>
      <c r="P308" s="3"/>
      <c r="Q308" s="3"/>
      <c r="R308" s="3"/>
      <c r="S308" s="3"/>
      <c r="T308" s="1"/>
      <c r="U308" s="1"/>
      <c r="V308" s="1"/>
      <c r="W308" s="1"/>
      <c r="X308" s="1"/>
      <c r="Y308" s="1"/>
      <c r="Z308" s="1"/>
      <c r="AA308" s="1"/>
      <c r="AB308" s="1"/>
    </row>
    <row r="309" spans="1:28" ht="15" customHeight="1">
      <c r="A309" s="1"/>
      <c r="B309" s="3"/>
      <c r="C309" s="3"/>
      <c r="D309" s="3"/>
      <c r="E309" s="3"/>
      <c r="F309" s="3"/>
      <c r="G309" s="3"/>
      <c r="H309" s="3"/>
      <c r="I309" s="3"/>
      <c r="J309" s="3"/>
      <c r="K309" s="3"/>
      <c r="L309" s="3"/>
      <c r="M309" s="3"/>
      <c r="N309" s="3"/>
      <c r="O309" s="3"/>
      <c r="P309" s="3"/>
      <c r="Q309" s="3"/>
      <c r="R309" s="3"/>
      <c r="S309" s="3"/>
      <c r="T309" s="1"/>
      <c r="U309" s="1"/>
      <c r="V309" s="1"/>
      <c r="W309" s="1"/>
      <c r="X309" s="1"/>
      <c r="Y309" s="1"/>
      <c r="Z309" s="1"/>
      <c r="AA309" s="1"/>
      <c r="AB309" s="1"/>
    </row>
    <row r="310" spans="1:28" ht="1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sheetData>
  <mergeCells count="732">
    <mergeCell ref="B8:Q8"/>
    <mergeCell ref="B10:Q10"/>
    <mergeCell ref="R10:AB10"/>
    <mergeCell ref="B11:AB11"/>
    <mergeCell ref="B128:Q128"/>
    <mergeCell ref="B130:Q130"/>
    <mergeCell ref="R130:AB130"/>
    <mergeCell ref="B131:AB131"/>
    <mergeCell ref="B307:J307"/>
    <mergeCell ref="K299:S300"/>
    <mergeCell ref="K304:M304"/>
    <mergeCell ref="K305:M305"/>
    <mergeCell ref="N304:P304"/>
    <mergeCell ref="N305:P305"/>
    <mergeCell ref="Q304:S304"/>
    <mergeCell ref="Q305:S305"/>
    <mergeCell ref="K307:S307"/>
    <mergeCell ref="T286:V286"/>
    <mergeCell ref="W285:Y285"/>
    <mergeCell ref="W286:Y286"/>
    <mergeCell ref="Z285:AB285"/>
    <mergeCell ref="Z286:AB286"/>
    <mergeCell ref="T288:AB288"/>
    <mergeCell ref="B299:J300"/>
    <mergeCell ref="B305:D305"/>
    <mergeCell ref="E304:G304"/>
    <mergeCell ref="E305:G305"/>
    <mergeCell ref="H304:J304"/>
    <mergeCell ref="H305:J305"/>
    <mergeCell ref="B286:D286"/>
    <mergeCell ref="E285:G285"/>
    <mergeCell ref="E286:G286"/>
    <mergeCell ref="H285:J285"/>
    <mergeCell ref="H286:J286"/>
    <mergeCell ref="B288:J288"/>
    <mergeCell ref="B293:G293"/>
    <mergeCell ref="K286:M286"/>
    <mergeCell ref="N285:P285"/>
    <mergeCell ref="N286:P286"/>
    <mergeCell ref="Q285:S285"/>
    <mergeCell ref="Q286:S286"/>
    <mergeCell ref="K288:S288"/>
    <mergeCell ref="T266:V266"/>
    <mergeCell ref="T267:V267"/>
    <mergeCell ref="B304:D304"/>
    <mergeCell ref="B280:J281"/>
    <mergeCell ref="B285:D285"/>
    <mergeCell ref="V280:Z281"/>
    <mergeCell ref="T285:V285"/>
    <mergeCell ref="B266:D266"/>
    <mergeCell ref="B267:D267"/>
    <mergeCell ref="E266:G266"/>
    <mergeCell ref="E267:G267"/>
    <mergeCell ref="H266:J266"/>
    <mergeCell ref="H267:J267"/>
    <mergeCell ref="B269:J269"/>
    <mergeCell ref="Q274:S274"/>
    <mergeCell ref="K273:S273"/>
    <mergeCell ref="K280:S281"/>
    <mergeCell ref="K285:M285"/>
    <mergeCell ref="K266:M266"/>
    <mergeCell ref="K267:M267"/>
    <mergeCell ref="N266:P266"/>
    <mergeCell ref="N267:P267"/>
    <mergeCell ref="Q266:S266"/>
    <mergeCell ref="Q267:S267"/>
    <mergeCell ref="K269:S269"/>
    <mergeCell ref="V242:Z243"/>
    <mergeCell ref="T247:V247"/>
    <mergeCell ref="T248:V248"/>
    <mergeCell ref="W247:Y247"/>
    <mergeCell ref="W248:Y248"/>
    <mergeCell ref="Z247:AB247"/>
    <mergeCell ref="Z248:AB248"/>
    <mergeCell ref="T250:AB250"/>
    <mergeCell ref="W266:Y266"/>
    <mergeCell ref="W267:Y267"/>
    <mergeCell ref="Z266:AB266"/>
    <mergeCell ref="Z267:AB267"/>
    <mergeCell ref="T269:AB269"/>
    <mergeCell ref="B261:J262"/>
    <mergeCell ref="V261:Z262"/>
    <mergeCell ref="B242:J243"/>
    <mergeCell ref="B247:D247"/>
    <mergeCell ref="B248:D248"/>
    <mergeCell ref="E247:G247"/>
    <mergeCell ref="E248:G248"/>
    <mergeCell ref="H247:J247"/>
    <mergeCell ref="H248:J248"/>
    <mergeCell ref="B250:J250"/>
    <mergeCell ref="K242:S243"/>
    <mergeCell ref="K247:M247"/>
    <mergeCell ref="K248:M248"/>
    <mergeCell ref="N247:P247"/>
    <mergeCell ref="N248:P248"/>
    <mergeCell ref="Q247:S247"/>
    <mergeCell ref="Q248:S248"/>
    <mergeCell ref="K250:S250"/>
    <mergeCell ref="Z255:AB255"/>
    <mergeCell ref="T255:Y255"/>
    <mergeCell ref="B255:G255"/>
    <mergeCell ref="Q255:S255"/>
    <mergeCell ref="K261:S262"/>
    <mergeCell ref="Q73:S73"/>
    <mergeCell ref="Q74:S74"/>
    <mergeCell ref="K76:S76"/>
    <mergeCell ref="V68:Z69"/>
    <mergeCell ref="T73:V73"/>
    <mergeCell ref="T74:V74"/>
    <mergeCell ref="W73:Y73"/>
    <mergeCell ref="W74:Y74"/>
    <mergeCell ref="Z73:AB73"/>
    <mergeCell ref="Z74:AB74"/>
    <mergeCell ref="T76:AB76"/>
    <mergeCell ref="Q236:S236"/>
    <mergeCell ref="B49:J50"/>
    <mergeCell ref="B54:D54"/>
    <mergeCell ref="B55:D55"/>
    <mergeCell ref="E54:G54"/>
    <mergeCell ref="E55:G55"/>
    <mergeCell ref="H54:J54"/>
    <mergeCell ref="H55:J55"/>
    <mergeCell ref="B57:J57"/>
    <mergeCell ref="K49:S50"/>
    <mergeCell ref="K54:M54"/>
    <mergeCell ref="K55:M55"/>
    <mergeCell ref="N54:P54"/>
    <mergeCell ref="N55:P55"/>
    <mergeCell ref="Q54:S54"/>
    <mergeCell ref="Q55:S55"/>
    <mergeCell ref="K57:S57"/>
    <mergeCell ref="B68:J69"/>
    <mergeCell ref="B73:D73"/>
    <mergeCell ref="B74:D74"/>
    <mergeCell ref="E73:G73"/>
    <mergeCell ref="E74:G74"/>
    <mergeCell ref="H73:J73"/>
    <mergeCell ref="H74:J74"/>
    <mergeCell ref="T33:V33"/>
    <mergeCell ref="H255:J255"/>
    <mergeCell ref="K254:S254"/>
    <mergeCell ref="B223:I223"/>
    <mergeCell ref="T90:AB90"/>
    <mergeCell ref="U222:W222"/>
    <mergeCell ref="O225:Q225"/>
    <mergeCell ref="K61:S61"/>
    <mergeCell ref="Z197:AA197"/>
    <mergeCell ref="T61:AB61"/>
    <mergeCell ref="U224:W224"/>
    <mergeCell ref="B177:I177"/>
    <mergeCell ref="L219:N219"/>
    <mergeCell ref="B254:J254"/>
    <mergeCell ref="T82:V82"/>
    <mergeCell ref="V190:W190"/>
    <mergeCell ref="X190:Y190"/>
    <mergeCell ref="O223:Q223"/>
    <mergeCell ref="L222:N222"/>
    <mergeCell ref="J193:K193"/>
    <mergeCell ref="L224:N224"/>
    <mergeCell ref="J195:K195"/>
    <mergeCell ref="Z82:AA82"/>
    <mergeCell ref="K89:S89"/>
    <mergeCell ref="X180:Y180"/>
    <mergeCell ref="P35:Q35"/>
    <mergeCell ref="P180:Q180"/>
    <mergeCell ref="R180:S180"/>
    <mergeCell ref="J183:K183"/>
    <mergeCell ref="Z196:AA196"/>
    <mergeCell ref="R174:S174"/>
    <mergeCell ref="T174:U174"/>
    <mergeCell ref="Z192:AA192"/>
    <mergeCell ref="M37:O37"/>
    <mergeCell ref="V49:Z50"/>
    <mergeCell ref="T54:V54"/>
    <mergeCell ref="T55:V55"/>
    <mergeCell ref="W54:Y54"/>
    <mergeCell ref="W55:Y55"/>
    <mergeCell ref="Z54:AB54"/>
    <mergeCell ref="Z55:AB55"/>
    <mergeCell ref="T57:AB57"/>
    <mergeCell ref="B76:J76"/>
    <mergeCell ref="K68:S69"/>
    <mergeCell ref="K73:M73"/>
    <mergeCell ref="K74:M74"/>
    <mergeCell ref="N73:P73"/>
    <mergeCell ref="N74:P74"/>
    <mergeCell ref="J38:L38"/>
    <mergeCell ref="G206:AB206"/>
    <mergeCell ref="P195:Q195"/>
    <mergeCell ref="B233:Q233"/>
    <mergeCell ref="O224:Q224"/>
    <mergeCell ref="Z38:AA38"/>
    <mergeCell ref="X4:AB4"/>
    <mergeCell ref="O217:Q217"/>
    <mergeCell ref="U110:AB110"/>
    <mergeCell ref="M31:O31"/>
    <mergeCell ref="V192:W192"/>
    <mergeCell ref="X192:Y192"/>
    <mergeCell ref="N86:P86"/>
    <mergeCell ref="Q87:S87"/>
    <mergeCell ref="T42:AB42"/>
    <mergeCell ref="X187:Y187"/>
    <mergeCell ref="L190:M190"/>
    <mergeCell ref="Z194:AA194"/>
    <mergeCell ref="R29:AB29"/>
    <mergeCell ref="Z175:AA175"/>
    <mergeCell ref="V186:W186"/>
    <mergeCell ref="X186:Y186"/>
    <mergeCell ref="Z33:AA33"/>
    <mergeCell ref="P33:Q33"/>
    <mergeCell ref="Q293:S293"/>
    <mergeCell ref="B4:V4"/>
    <mergeCell ref="L184:M184"/>
    <mergeCell ref="N184:O184"/>
    <mergeCell ref="W36:Y36"/>
    <mergeCell ref="B227:I227"/>
    <mergeCell ref="L221:N221"/>
    <mergeCell ref="N177:O177"/>
    <mergeCell ref="P177:Q177"/>
    <mergeCell ref="X219:AB219"/>
    <mergeCell ref="J180:K180"/>
    <mergeCell ref="W38:Y38"/>
    <mergeCell ref="V179:W179"/>
    <mergeCell ref="N179:O179"/>
    <mergeCell ref="X179:Y179"/>
    <mergeCell ref="B153:N153"/>
    <mergeCell ref="P179:Q179"/>
    <mergeCell ref="T38:V38"/>
    <mergeCell ref="T192:U192"/>
    <mergeCell ref="R173:S173"/>
    <mergeCell ref="J176:K176"/>
    <mergeCell ref="U226:W226"/>
    <mergeCell ref="M35:O35"/>
    <mergeCell ref="J84:K84"/>
    <mergeCell ref="B226:I226"/>
    <mergeCell ref="T31:V31"/>
    <mergeCell ref="O216:Q216"/>
    <mergeCell ref="J218:K218"/>
    <mergeCell ref="T197:U197"/>
    <mergeCell ref="R220:T220"/>
    <mergeCell ref="J221:K221"/>
    <mergeCell ref="N182:O182"/>
    <mergeCell ref="P182:Q182"/>
    <mergeCell ref="R182:S182"/>
    <mergeCell ref="R221:T221"/>
    <mergeCell ref="T196:U196"/>
    <mergeCell ref="J220:K220"/>
    <mergeCell ref="R218:T218"/>
    <mergeCell ref="R197:S197"/>
    <mergeCell ref="B83:I83"/>
    <mergeCell ref="N85:P85"/>
    <mergeCell ref="B202:F202"/>
    <mergeCell ref="L216:N216"/>
    <mergeCell ref="B201:F201"/>
    <mergeCell ref="B182:I182"/>
    <mergeCell ref="L218:N218"/>
    <mergeCell ref="J223:K223"/>
    <mergeCell ref="R183:S183"/>
    <mergeCell ref="O226:Q226"/>
    <mergeCell ref="Q84:S84"/>
    <mergeCell ref="Z174:AA174"/>
    <mergeCell ref="H38:I38"/>
    <mergeCell ref="J215:K215"/>
    <mergeCell ref="O219:Q219"/>
    <mergeCell ref="U221:W221"/>
    <mergeCell ref="L226:N226"/>
    <mergeCell ref="R215:T215"/>
    <mergeCell ref="Z43:AB43"/>
    <mergeCell ref="J172:K172"/>
    <mergeCell ref="R194:S194"/>
    <mergeCell ref="K90:S90"/>
    <mergeCell ref="T194:U194"/>
    <mergeCell ref="L194:M194"/>
    <mergeCell ref="R217:T217"/>
    <mergeCell ref="L84:M84"/>
    <mergeCell ref="J225:K225"/>
    <mergeCell ref="T176:U176"/>
    <mergeCell ref="J181:K181"/>
    <mergeCell ref="U220:W220"/>
    <mergeCell ref="J174:K174"/>
    <mergeCell ref="R196:S196"/>
    <mergeCell ref="J197:K197"/>
    <mergeCell ref="H36:I36"/>
    <mergeCell ref="J224:K224"/>
    <mergeCell ref="H236:J236"/>
    <mergeCell ref="B89:J89"/>
    <mergeCell ref="P183:Q183"/>
    <mergeCell ref="B229:AB229"/>
    <mergeCell ref="B209:F209"/>
    <mergeCell ref="Z35:AA35"/>
    <mergeCell ref="B203:F203"/>
    <mergeCell ref="B217:I217"/>
    <mergeCell ref="Z85:AA85"/>
    <mergeCell ref="T173:U173"/>
    <mergeCell ref="B87:I87"/>
    <mergeCell ref="X221:AB221"/>
    <mergeCell ref="T191:U191"/>
    <mergeCell ref="U109:AB109"/>
    <mergeCell ref="V191:W191"/>
    <mergeCell ref="P37:Q37"/>
    <mergeCell ref="Q81:S81"/>
    <mergeCell ref="T84:V84"/>
    <mergeCell ref="B192:I192"/>
    <mergeCell ref="X218:AB218"/>
    <mergeCell ref="R38:S38"/>
    <mergeCell ref="B199:Q199"/>
    <mergeCell ref="B29:Q29"/>
    <mergeCell ref="R35:S35"/>
    <mergeCell ref="B35:G35"/>
    <mergeCell ref="M34:O34"/>
    <mergeCell ref="T86:V86"/>
    <mergeCell ref="W87:Y87"/>
    <mergeCell ref="R172:S172"/>
    <mergeCell ref="J175:K175"/>
    <mergeCell ref="T172:U172"/>
    <mergeCell ref="L175:M175"/>
    <mergeCell ref="N82:P82"/>
    <mergeCell ref="B39:AB39"/>
    <mergeCell ref="L87:M87"/>
    <mergeCell ref="L172:M172"/>
    <mergeCell ref="K42:S42"/>
    <mergeCell ref="B84:I84"/>
    <mergeCell ref="K43:P43"/>
    <mergeCell ref="Q43:S43"/>
    <mergeCell ref="Z36:AA36"/>
    <mergeCell ref="N83:P83"/>
    <mergeCell ref="T37:V37"/>
    <mergeCell ref="Z86:AA86"/>
    <mergeCell ref="B34:G34"/>
    <mergeCell ref="B32:G32"/>
    <mergeCell ref="J37:L37"/>
    <mergeCell ref="T178:U178"/>
    <mergeCell ref="V178:W178"/>
    <mergeCell ref="B180:I180"/>
    <mergeCell ref="T34:V34"/>
    <mergeCell ref="Z32:AA32"/>
    <mergeCell ref="J31:L31"/>
    <mergeCell ref="N87:P87"/>
    <mergeCell ref="Z184:AA184"/>
    <mergeCell ref="P32:Q32"/>
    <mergeCell ref="X184:Y184"/>
    <mergeCell ref="B176:I176"/>
    <mergeCell ref="W84:Y84"/>
    <mergeCell ref="B110:S110"/>
    <mergeCell ref="B178:I178"/>
    <mergeCell ref="L83:M83"/>
    <mergeCell ref="J33:L33"/>
    <mergeCell ref="M38:O38"/>
    <mergeCell ref="J35:L35"/>
    <mergeCell ref="Z62:AB62"/>
    <mergeCell ref="W86:Y86"/>
    <mergeCell ref="L82:M82"/>
    <mergeCell ref="B173:I173"/>
    <mergeCell ref="Z173:AA173"/>
    <mergeCell ref="L197:M197"/>
    <mergeCell ref="T188:U188"/>
    <mergeCell ref="L191:M191"/>
    <mergeCell ref="V188:W188"/>
    <mergeCell ref="V181:W181"/>
    <mergeCell ref="V176:W176"/>
    <mergeCell ref="L181:M181"/>
    <mergeCell ref="L185:M185"/>
    <mergeCell ref="N185:O185"/>
    <mergeCell ref="T189:U189"/>
    <mergeCell ref="V189:W189"/>
    <mergeCell ref="N183:O183"/>
    <mergeCell ref="L188:M188"/>
    <mergeCell ref="T182:U182"/>
    <mergeCell ref="V182:W182"/>
    <mergeCell ref="T185:U185"/>
    <mergeCell ref="P193:Q193"/>
    <mergeCell ref="N187:O187"/>
    <mergeCell ref="X189:Y189"/>
    <mergeCell ref="B200:F200"/>
    <mergeCell ref="Z186:AA186"/>
    <mergeCell ref="J81:K81"/>
    <mergeCell ref="N190:O190"/>
    <mergeCell ref="P190:Q190"/>
    <mergeCell ref="X181:Y181"/>
    <mergeCell ref="T81:V81"/>
    <mergeCell ref="W82:Y82"/>
    <mergeCell ref="L176:M176"/>
    <mergeCell ref="N192:O192"/>
    <mergeCell ref="P192:Q192"/>
    <mergeCell ref="P185:Q185"/>
    <mergeCell ref="L189:M189"/>
    <mergeCell ref="N189:O189"/>
    <mergeCell ref="N191:O191"/>
    <mergeCell ref="L173:M173"/>
    <mergeCell ref="V173:W173"/>
    <mergeCell ref="R187:S187"/>
    <mergeCell ref="B189:I189"/>
    <mergeCell ref="J194:K194"/>
    <mergeCell ref="J188:K188"/>
    <mergeCell ref="P153:AB153"/>
    <mergeCell ref="J85:K85"/>
    <mergeCell ref="K293:P293"/>
    <mergeCell ref="B184:I184"/>
    <mergeCell ref="H33:I33"/>
    <mergeCell ref="X220:AB220"/>
    <mergeCell ref="B186:I186"/>
    <mergeCell ref="B292:J292"/>
    <mergeCell ref="H293:J293"/>
    <mergeCell ref="Z83:AA83"/>
    <mergeCell ref="R219:T219"/>
    <mergeCell ref="J86:K86"/>
    <mergeCell ref="L86:M86"/>
    <mergeCell ref="B42:J42"/>
    <mergeCell ref="B36:G36"/>
    <mergeCell ref="X223:AB223"/>
    <mergeCell ref="Z185:AA185"/>
    <mergeCell ref="Z179:AA179"/>
    <mergeCell ref="R36:S36"/>
    <mergeCell ref="R195:S195"/>
    <mergeCell ref="B221:I221"/>
    <mergeCell ref="X226:AB226"/>
    <mergeCell ref="K236:P236"/>
    <mergeCell ref="O227:Q227"/>
    <mergeCell ref="J222:K222"/>
    <mergeCell ref="B108:Q108"/>
    <mergeCell ref="X225:AB225"/>
    <mergeCell ref="K62:P62"/>
    <mergeCell ref="B191:I191"/>
    <mergeCell ref="Q62:S62"/>
    <mergeCell ref="J219:K219"/>
    <mergeCell ref="B190:I190"/>
    <mergeCell ref="B31:G31"/>
    <mergeCell ref="B61:J61"/>
    <mergeCell ref="U216:W216"/>
    <mergeCell ref="B216:I216"/>
    <mergeCell ref="B38:G38"/>
    <mergeCell ref="R175:S175"/>
    <mergeCell ref="J178:K178"/>
    <mergeCell ref="T175:U175"/>
    <mergeCell ref="B171:Q171"/>
    <mergeCell ref="L178:M178"/>
    <mergeCell ref="B204:F204"/>
    <mergeCell ref="T32:V32"/>
    <mergeCell ref="X217:AB217"/>
    <mergeCell ref="J83:K83"/>
    <mergeCell ref="B33:G33"/>
    <mergeCell ref="M32:O32"/>
    <mergeCell ref="B41:Q41"/>
    <mergeCell ref="T62:Y62"/>
    <mergeCell ref="X191:Y191"/>
    <mergeCell ref="T274:Y274"/>
    <mergeCell ref="W81:Y81"/>
    <mergeCell ref="W37:Y37"/>
    <mergeCell ref="T36:V36"/>
    <mergeCell ref="X173:Y173"/>
    <mergeCell ref="G203:AB203"/>
    <mergeCell ref="J173:K173"/>
    <mergeCell ref="R223:T223"/>
    <mergeCell ref="B236:G236"/>
    <mergeCell ref="B274:G274"/>
    <mergeCell ref="R225:T225"/>
    <mergeCell ref="H274:J274"/>
    <mergeCell ref="X222:AB222"/>
    <mergeCell ref="R179:S179"/>
    <mergeCell ref="J182:K182"/>
    <mergeCell ref="T179:U179"/>
    <mergeCell ref="L182:M182"/>
    <mergeCell ref="X215:AB215"/>
    <mergeCell ref="B181:I181"/>
    <mergeCell ref="B208:F208"/>
    <mergeCell ref="L220:N220"/>
    <mergeCell ref="R227:T227"/>
    <mergeCell ref="L223:N223"/>
    <mergeCell ref="B3:W3"/>
    <mergeCell ref="B81:I81"/>
    <mergeCell ref="U223:W223"/>
    <mergeCell ref="X176:Y176"/>
    <mergeCell ref="P31:Q31"/>
    <mergeCell ref="H34:I34"/>
    <mergeCell ref="N181:O181"/>
    <mergeCell ref="P181:Q181"/>
    <mergeCell ref="J184:K184"/>
    <mergeCell ref="H62:J62"/>
    <mergeCell ref="X178:Y178"/>
    <mergeCell ref="J177:K177"/>
    <mergeCell ref="U218:W218"/>
    <mergeCell ref="R222:T222"/>
    <mergeCell ref="J185:K185"/>
    <mergeCell ref="J179:K179"/>
    <mergeCell ref="B220:I220"/>
    <mergeCell ref="N195:O195"/>
    <mergeCell ref="N176:O176"/>
    <mergeCell ref="V194:W194"/>
    <mergeCell ref="J32:L32"/>
    <mergeCell ref="B80:Q80"/>
    <mergeCell ref="X194:Y194"/>
    <mergeCell ref="G204:AB204"/>
    <mergeCell ref="G200:AB200"/>
    <mergeCell ref="B213:Q213"/>
    <mergeCell ref="R192:S192"/>
    <mergeCell ref="V175:W175"/>
    <mergeCell ref="X175:Y175"/>
    <mergeCell ref="Z191:AA191"/>
    <mergeCell ref="Z195:AA195"/>
    <mergeCell ref="Z177:AA177"/>
    <mergeCell ref="U215:W215"/>
    <mergeCell ref="R185:S185"/>
    <mergeCell ref="Z187:AA187"/>
    <mergeCell ref="P187:Q187"/>
    <mergeCell ref="P184:Q184"/>
    <mergeCell ref="J187:K187"/>
    <mergeCell ref="R184:S184"/>
    <mergeCell ref="N186:O186"/>
    <mergeCell ref="R177:S177"/>
    <mergeCell ref="P186:Q186"/>
    <mergeCell ref="T177:U177"/>
    <mergeCell ref="V185:W185"/>
    <mergeCell ref="X185:Y185"/>
    <mergeCell ref="T187:U187"/>
    <mergeCell ref="V187:W187"/>
    <mergeCell ref="B205:F205"/>
    <mergeCell ref="T235:AB235"/>
    <mergeCell ref="O220:Q220"/>
    <mergeCell ref="B206:F206"/>
    <mergeCell ref="G202:AB202"/>
    <mergeCell ref="T193:U193"/>
    <mergeCell ref="B218:I218"/>
    <mergeCell ref="L193:M193"/>
    <mergeCell ref="N193:O193"/>
    <mergeCell ref="V193:W193"/>
    <mergeCell ref="T195:U195"/>
    <mergeCell ref="V195:W195"/>
    <mergeCell ref="B224:I224"/>
    <mergeCell ref="R224:T224"/>
    <mergeCell ref="N194:O194"/>
    <mergeCell ref="P194:Q194"/>
    <mergeCell ref="V196:W196"/>
    <mergeCell ref="X196:Y196"/>
    <mergeCell ref="R216:T216"/>
    <mergeCell ref="U217:W217"/>
    <mergeCell ref="J216:K216"/>
    <mergeCell ref="L195:M195"/>
    <mergeCell ref="B215:I215"/>
    <mergeCell ref="O218:Q218"/>
    <mergeCell ref="B196:I196"/>
    <mergeCell ref="U227:W227"/>
    <mergeCell ref="J226:K226"/>
    <mergeCell ref="L217:N217"/>
    <mergeCell ref="B197:I197"/>
    <mergeCell ref="B207:F207"/>
    <mergeCell ref="L196:M196"/>
    <mergeCell ref="O215:Q215"/>
    <mergeCell ref="L179:M179"/>
    <mergeCell ref="X224:AB224"/>
    <mergeCell ref="L215:N215"/>
    <mergeCell ref="G208:AB208"/>
    <mergeCell ref="X193:Y193"/>
    <mergeCell ref="V184:W184"/>
    <mergeCell ref="X216:AB216"/>
    <mergeCell ref="B195:I195"/>
    <mergeCell ref="R186:S186"/>
    <mergeCell ref="T186:U186"/>
    <mergeCell ref="Z193:AA193"/>
    <mergeCell ref="B188:I188"/>
    <mergeCell ref="U219:W219"/>
    <mergeCell ref="B219:I219"/>
    <mergeCell ref="O222:Q222"/>
    <mergeCell ref="R226:T226"/>
    <mergeCell ref="B194:I194"/>
    <mergeCell ref="Z236:AB236"/>
    <mergeCell ref="J227:K227"/>
    <mergeCell ref="R213:AB213"/>
    <mergeCell ref="X174:Y174"/>
    <mergeCell ref="T273:AB273"/>
    <mergeCell ref="K274:P274"/>
    <mergeCell ref="Z176:AA176"/>
    <mergeCell ref="T254:AB254"/>
    <mergeCell ref="Z84:AA84"/>
    <mergeCell ref="L177:M177"/>
    <mergeCell ref="G209:AB209"/>
    <mergeCell ref="B183:I183"/>
    <mergeCell ref="L227:N227"/>
    <mergeCell ref="L85:M85"/>
    <mergeCell ref="U225:W225"/>
    <mergeCell ref="L186:M186"/>
    <mergeCell ref="V172:W172"/>
    <mergeCell ref="Z274:AB274"/>
    <mergeCell ref="K255:P255"/>
    <mergeCell ref="K235:S235"/>
    <mergeCell ref="Z178:AA178"/>
    <mergeCell ref="T87:V87"/>
    <mergeCell ref="B211:AB211"/>
    <mergeCell ref="B222:I222"/>
    <mergeCell ref="X3:AB3"/>
    <mergeCell ref="Z180:AA180"/>
    <mergeCell ref="B175:I175"/>
    <mergeCell ref="T85:V85"/>
    <mergeCell ref="K292:S292"/>
    <mergeCell ref="X5:AB5"/>
    <mergeCell ref="N196:O196"/>
    <mergeCell ref="P196:Q196"/>
    <mergeCell ref="G205:AB205"/>
    <mergeCell ref="J217:K217"/>
    <mergeCell ref="P189:Q189"/>
    <mergeCell ref="R189:S189"/>
    <mergeCell ref="L192:M192"/>
    <mergeCell ref="G207:AB207"/>
    <mergeCell ref="R32:S32"/>
    <mergeCell ref="W35:Y35"/>
    <mergeCell ref="P191:Q191"/>
    <mergeCell ref="B228:AB228"/>
    <mergeCell ref="R191:S191"/>
    <mergeCell ref="X227:AB227"/>
    <mergeCell ref="R34:S34"/>
    <mergeCell ref="B193:I193"/>
    <mergeCell ref="T184:U184"/>
    <mergeCell ref="L187:M187"/>
    <mergeCell ref="B235:J235"/>
    <mergeCell ref="V197:W197"/>
    <mergeCell ref="X197:Y197"/>
    <mergeCell ref="B5:V5"/>
    <mergeCell ref="P176:Q176"/>
    <mergeCell ref="H31:I31"/>
    <mergeCell ref="R176:S176"/>
    <mergeCell ref="J87:K87"/>
    <mergeCell ref="B37:G37"/>
    <mergeCell ref="B109:S109"/>
    <mergeCell ref="H32:I32"/>
    <mergeCell ref="R33:S33"/>
    <mergeCell ref="H37:I37"/>
    <mergeCell ref="N173:O173"/>
    <mergeCell ref="P173:Q173"/>
    <mergeCell ref="J34:L34"/>
    <mergeCell ref="Q86:S86"/>
    <mergeCell ref="Q85:S85"/>
    <mergeCell ref="H43:J43"/>
    <mergeCell ref="H35:I35"/>
    <mergeCell ref="B151:Q151"/>
    <mergeCell ref="N174:O174"/>
    <mergeCell ref="J36:L36"/>
    <mergeCell ref="P174:Q174"/>
    <mergeCell ref="P152:AB152"/>
    <mergeCell ref="T35:V35"/>
    <mergeCell ref="T43:Y43"/>
    <mergeCell ref="B273:J273"/>
    <mergeCell ref="X183:Y183"/>
    <mergeCell ref="P38:Q38"/>
    <mergeCell ref="Z183:AA183"/>
    <mergeCell ref="B179:I179"/>
    <mergeCell ref="B225:I225"/>
    <mergeCell ref="T236:Y236"/>
    <mergeCell ref="N175:O175"/>
    <mergeCell ref="P175:Q175"/>
    <mergeCell ref="N188:O188"/>
    <mergeCell ref="P188:Q188"/>
    <mergeCell ref="R188:S188"/>
    <mergeCell ref="J191:K191"/>
    <mergeCell ref="B185:I185"/>
    <mergeCell ref="N197:O197"/>
    <mergeCell ref="P197:Q197"/>
    <mergeCell ref="X188:Y188"/>
    <mergeCell ref="L183:M183"/>
    <mergeCell ref="R190:S190"/>
    <mergeCell ref="T190:U190"/>
    <mergeCell ref="B231:AB231"/>
    <mergeCell ref="G201:AB201"/>
    <mergeCell ref="Z190:AA190"/>
    <mergeCell ref="O221:Q221"/>
    <mergeCell ref="L225:N225"/>
    <mergeCell ref="R233:AB233"/>
    <mergeCell ref="R31:S31"/>
    <mergeCell ref="J190:K190"/>
    <mergeCell ref="R181:S181"/>
    <mergeCell ref="T181:U181"/>
    <mergeCell ref="R193:S193"/>
    <mergeCell ref="J196:K196"/>
    <mergeCell ref="W83:Y83"/>
    <mergeCell ref="X195:Y195"/>
    <mergeCell ref="B85:I85"/>
    <mergeCell ref="W85:Y85"/>
    <mergeCell ref="X177:Y177"/>
    <mergeCell ref="B172:I172"/>
    <mergeCell ref="B86:I86"/>
    <mergeCell ref="B174:I174"/>
    <mergeCell ref="P36:Q36"/>
    <mergeCell ref="J189:K189"/>
    <mergeCell ref="P178:Q178"/>
    <mergeCell ref="Z81:AA81"/>
    <mergeCell ref="R178:S178"/>
    <mergeCell ref="Z31:AA31"/>
    <mergeCell ref="Z181:AA181"/>
    <mergeCell ref="N81:P81"/>
    <mergeCell ref="Q82:S82"/>
    <mergeCell ref="M36:O36"/>
    <mergeCell ref="W32:Y32"/>
    <mergeCell ref="W34:Y34"/>
    <mergeCell ref="T83:V83"/>
    <mergeCell ref="B43:G43"/>
    <mergeCell ref="W31:Y31"/>
    <mergeCell ref="N178:O178"/>
    <mergeCell ref="T180:U180"/>
    <mergeCell ref="L180:M180"/>
    <mergeCell ref="V180:W180"/>
    <mergeCell ref="N180:O180"/>
    <mergeCell ref="X172:Y172"/>
    <mergeCell ref="Z37:AA37"/>
    <mergeCell ref="R37:S37"/>
    <mergeCell ref="Z172:AA172"/>
    <mergeCell ref="R41:AB41"/>
    <mergeCell ref="P34:Q34"/>
    <mergeCell ref="B90:J90"/>
    <mergeCell ref="Z87:AA87"/>
    <mergeCell ref="B82:I82"/>
    <mergeCell ref="W33:Y33"/>
    <mergeCell ref="B187:I187"/>
    <mergeCell ref="J192:K192"/>
    <mergeCell ref="J186:K186"/>
    <mergeCell ref="T89:AB89"/>
    <mergeCell ref="N172:O172"/>
    <mergeCell ref="P172:Q172"/>
    <mergeCell ref="Z188:AA188"/>
    <mergeCell ref="L174:M174"/>
    <mergeCell ref="V174:W174"/>
    <mergeCell ref="T183:U183"/>
    <mergeCell ref="V183:W183"/>
    <mergeCell ref="V177:W177"/>
    <mergeCell ref="J82:K82"/>
    <mergeCell ref="Z34:AA34"/>
    <mergeCell ref="B62:G62"/>
    <mergeCell ref="L81:M81"/>
    <mergeCell ref="B152:N152"/>
    <mergeCell ref="Q83:S83"/>
    <mergeCell ref="N84:P84"/>
    <mergeCell ref="Z189:AA189"/>
    <mergeCell ref="X182:Y182"/>
    <mergeCell ref="Z182:AA182"/>
    <mergeCell ref="M33:O33"/>
  </mergeCells>
  <conditionalFormatting sqref="AB32">
    <cfRule type="cellIs" dxfId="71" priority="2" operator="greaterThanOrEqual">
      <formula>0.9</formula>
    </cfRule>
    <cfRule type="cellIs" dxfId="70" priority="3" operator="between">
      <formula>0.75</formula>
      <formula>0.8999</formula>
    </cfRule>
    <cfRule type="cellIs" dxfId="69" priority="4" operator="lessThan">
      <formula>0.75</formula>
    </cfRule>
  </conditionalFormatting>
  <conditionalFormatting sqref="AB33">
    <cfRule type="cellIs" dxfId="68" priority="5" operator="greaterThanOrEqual">
      <formula>0.9</formula>
    </cfRule>
    <cfRule type="cellIs" dxfId="67" priority="6" operator="between">
      <formula>0.75</formula>
      <formula>0.8999</formula>
    </cfRule>
    <cfRule type="cellIs" dxfId="66" priority="7" operator="lessThan">
      <formula>0.75</formula>
    </cfRule>
  </conditionalFormatting>
  <conditionalFormatting sqref="AB34">
    <cfRule type="cellIs" dxfId="65" priority="8" operator="greaterThanOrEqual">
      <formula>0.9</formula>
    </cfRule>
    <cfRule type="cellIs" dxfId="64" priority="9" operator="between">
      <formula>0.75</formula>
      <formula>0.8999</formula>
    </cfRule>
    <cfRule type="cellIs" dxfId="63" priority="10" operator="lessThan">
      <formula>0.75</formula>
    </cfRule>
  </conditionalFormatting>
  <conditionalFormatting sqref="AB35">
    <cfRule type="cellIs" dxfId="62" priority="11" operator="greaterThanOrEqual">
      <formula>0.9</formula>
    </cfRule>
    <cfRule type="cellIs" dxfId="61" priority="12" operator="between">
      <formula>0.75</formula>
      <formula>0.8999</formula>
    </cfRule>
    <cfRule type="cellIs" dxfId="60" priority="13" operator="lessThan">
      <formula>0.75</formula>
    </cfRule>
  </conditionalFormatting>
  <conditionalFormatting sqref="AB36">
    <cfRule type="cellIs" dxfId="59" priority="14" operator="greaterThanOrEqual">
      <formula>0.9</formula>
    </cfRule>
    <cfRule type="cellIs" dxfId="58" priority="15" operator="between">
      <formula>0.75</formula>
      <formula>0.8999</formula>
    </cfRule>
    <cfRule type="cellIs" dxfId="57" priority="16" operator="lessThan">
      <formula>0.75</formula>
    </cfRule>
  </conditionalFormatting>
  <conditionalFormatting sqref="AB37">
    <cfRule type="cellIs" dxfId="56" priority="17" operator="greaterThanOrEqual">
      <formula>0.9</formula>
    </cfRule>
    <cfRule type="cellIs" dxfId="55" priority="18" operator="between">
      <formula>0.75</formula>
      <formula>0.8999</formula>
    </cfRule>
    <cfRule type="cellIs" dxfId="54" priority="19" operator="lessThan">
      <formula>0.75</formula>
    </cfRule>
  </conditionalFormatting>
  <conditionalFormatting sqref="AB38">
    <cfRule type="cellIs" dxfId="53" priority="20" operator="greaterThanOrEqual">
      <formula>0.9</formula>
    </cfRule>
    <cfRule type="cellIs" dxfId="52" priority="21" operator="between">
      <formula>0.75</formula>
      <formula>0.8999</formula>
    </cfRule>
    <cfRule type="cellIs" dxfId="51" priority="22" operator="lessThan">
      <formula>0.75</formula>
    </cfRule>
  </conditionalFormatting>
  <pageMargins left="0.75" right="0.75" top="1" bottom="1" header="0.511811023622047" footer="0.511811023622047"/>
  <pageSetup fitToHeight="0" orientation="landscape" horizontalDpi="300" verticalDpi="300"/>
  <drawing r:id="rId1"/>
  <extLst>
    <ext xmlns:x14="http://schemas.microsoft.com/office/spreadsheetml/2009/9/main" uri="{78C0D931-6437-407d-A8EE-F0AAD7539E65}">
      <x14:conditionalFormattings>
        <x14:conditionalFormatting xmlns:xm="http://schemas.microsoft.com/office/excel/2006/main">
          <x14:cfRule type="expression" priority="200" id="{00000000-000E-0000-0000-0000C8000000}">
            <xm:f>AND(ISNUMBER(B37),B37*100&gt;='KPI Engine (Final)'!$B$201)</xm:f>
            <x14:dxf>
              <font>
                <b/>
                <color rgb="FF2FBF9B"/>
              </font>
            </x14:dxf>
          </x14:cfRule>
          <x14:cfRule type="expression" priority="201" id="{00000000-000E-0000-0000-0000C9000000}">
            <xm:f>AND(ISNUMBER(B37),B37*100&gt;='KPI Engine (Final)'!$B$200,B37*100&lt;'KPI Engine (Final)'!$B$201)</xm:f>
            <x14:dxf>
              <font>
                <b/>
                <color rgb="FFE3B341"/>
              </font>
            </x14:dxf>
          </x14:cfRule>
          <x14:cfRule type="expression" priority="202" id="{00000000-000E-0000-0000-0000CA000000}">
            <xm:f>AND(ISNUMBER(B37),B37*100&lt;'KPI Engine (Final)'!$B$200)</xm:f>
            <x14:dxf>
              <font>
                <b/>
                <color rgb="FFE4572E"/>
              </font>
            </x14:dxf>
          </x14:cfRule>
          <xm:sqref>B49</xm:sqref>
        </x14:conditionalFormatting>
        <x14:conditionalFormatting xmlns:xm="http://schemas.microsoft.com/office/excel/2006/main">
          <x14:cfRule type="expression" priority="203" id="{00000000-000E-0000-0000-0000CB000000}">
            <xm:f>AND(ISNUMBER(K37),K37*100&gt;='KPI Engine (Final)'!$B$201)</xm:f>
            <x14:dxf>
              <font>
                <b/>
                <color rgb="FF2FBF9B"/>
              </font>
            </x14:dxf>
          </x14:cfRule>
          <x14:cfRule type="expression" priority="204" id="{00000000-000E-0000-0000-0000CC000000}">
            <xm:f>AND(ISNUMBER(K37),K37*100&gt;='KPI Engine (Final)'!$B$200,K37*100&lt;'KPI Engine (Final)'!$B$201)</xm:f>
            <x14:dxf>
              <font>
                <b/>
                <color rgb="FFE3B341"/>
              </font>
            </x14:dxf>
          </x14:cfRule>
          <x14:cfRule type="expression" priority="205" id="{00000000-000E-0000-0000-0000CD000000}">
            <xm:f>AND(ISNUMBER(K37),K37*100&lt;'KPI Engine (Final)'!$B$200)</xm:f>
            <x14:dxf>
              <font>
                <b/>
                <color rgb="FFE4572E"/>
              </font>
            </x14:dxf>
          </x14:cfRule>
          <xm:sqref>K49</xm:sqref>
        </x14:conditionalFormatting>
        <x14:conditionalFormatting xmlns:xm="http://schemas.microsoft.com/office/excel/2006/main">
          <x14:cfRule type="expression" priority="206" id="{00000000-000E-0000-0000-0000CE000000}">
            <xm:f>AND(ISNUMBER(V37),V37*100&gt;='KPI Engine (Final)'!$B$201)</xm:f>
            <x14:dxf>
              <font>
                <b/>
                <color rgb="FF2FBF9B"/>
              </font>
            </x14:dxf>
          </x14:cfRule>
          <x14:cfRule type="expression" priority="207" id="{00000000-000E-0000-0000-0000CF000000}">
            <xm:f>AND(ISNUMBER(V37),V37*100&gt;='KPI Engine (Final)'!$B$200,V37*100&lt;'KPI Engine (Final)'!$B$201)</xm:f>
            <x14:dxf>
              <font>
                <b/>
                <color rgb="FFE3B341"/>
              </font>
            </x14:dxf>
          </x14:cfRule>
          <x14:cfRule type="expression" priority="208" id="{00000000-000E-0000-0000-0000D0000000}">
            <xm:f>AND(ISNUMBER(V37),V37*100&lt;'KPI Engine (Final)'!$B$200)</xm:f>
            <x14:dxf>
              <font>
                <b/>
                <color rgb="FFE4572E"/>
              </font>
            </x14:dxf>
          </x14:cfRule>
          <xm:sqref>V49</xm:sqref>
        </x14:conditionalFormatting>
        <x14:conditionalFormatting xmlns:xm="http://schemas.microsoft.com/office/excel/2006/main">
          <x14:cfRule type="expression" priority="209" id="{00000000-000E-0000-0000-0000D1000000}">
            <xm:f>AND(ISNUMBER(B56),B56*100&gt;='KPI Engine (Final)'!$B$201)</xm:f>
            <x14:dxf>
              <font>
                <b/>
                <color rgb="FF2FBF9B"/>
              </font>
            </x14:dxf>
          </x14:cfRule>
          <x14:cfRule type="expression" priority="210" id="{00000000-000E-0000-0000-0000D2000000}">
            <xm:f>AND(ISNUMBER(B56),B56*100&gt;='KPI Engine (Final)'!$B$200,B56*100&lt;'KPI Engine (Final)'!$B$201)</xm:f>
            <x14:dxf>
              <font>
                <b/>
                <color rgb="FFE3B341"/>
              </font>
            </x14:dxf>
          </x14:cfRule>
          <x14:cfRule type="expression" priority="211" id="{00000000-000E-0000-0000-0000D3000000}">
            <xm:f>AND(ISNUMBER(B56),B56*100&lt;'KPI Engine (Final)'!$B$200)</xm:f>
            <x14:dxf>
              <font>
                <b/>
                <color rgb="FFE4572E"/>
              </font>
            </x14:dxf>
          </x14:cfRule>
          <xm:sqref>B68</xm:sqref>
        </x14:conditionalFormatting>
        <x14:conditionalFormatting xmlns:xm="http://schemas.microsoft.com/office/excel/2006/main">
          <x14:cfRule type="expression" priority="212" id="{00000000-000E-0000-0000-0000D4000000}">
            <xm:f>AND(ISNUMBER(K56),K56*100&gt;='KPI Engine (Final)'!$B$201)</xm:f>
            <x14:dxf>
              <font>
                <b/>
                <color rgb="FF2FBF9B"/>
              </font>
            </x14:dxf>
          </x14:cfRule>
          <x14:cfRule type="expression" priority="213" id="{00000000-000E-0000-0000-0000D5000000}">
            <xm:f>AND(ISNUMBER(K56),K56*100&gt;='KPI Engine (Final)'!$B$200,K56*100&lt;'KPI Engine (Final)'!$B$201)</xm:f>
            <x14:dxf>
              <font>
                <b/>
                <color rgb="FFE3B341"/>
              </font>
            </x14:dxf>
          </x14:cfRule>
          <x14:cfRule type="expression" priority="214" id="{00000000-000E-0000-0000-0000D6000000}">
            <xm:f>AND(ISNUMBER(K56),K56*100&lt;'KPI Engine (Final)'!$B$200)</xm:f>
            <x14:dxf>
              <font>
                <b/>
                <color rgb="FFE4572E"/>
              </font>
            </x14:dxf>
          </x14:cfRule>
          <xm:sqref>K68</xm:sqref>
        </x14:conditionalFormatting>
        <x14:conditionalFormatting xmlns:xm="http://schemas.microsoft.com/office/excel/2006/main">
          <x14:cfRule type="expression" priority="215" id="{00000000-000E-0000-0000-0000D7000000}">
            <xm:f>AND(ISNUMBER(V56),V56*100&gt;='KPI Engine (Final)'!$B$201)</xm:f>
            <x14:dxf>
              <font>
                <b/>
                <color rgb="FF2FBF9B"/>
              </font>
            </x14:dxf>
          </x14:cfRule>
          <x14:cfRule type="expression" priority="216" id="{00000000-000E-0000-0000-0000D8000000}">
            <xm:f>AND(ISNUMBER(V56),V56*100&gt;='KPI Engine (Final)'!$B$200,V56*100&lt;'KPI Engine (Final)'!$B$201)</xm:f>
            <x14:dxf>
              <font>
                <b/>
                <color rgb="FFE3B341"/>
              </font>
            </x14:dxf>
          </x14:cfRule>
          <x14:cfRule type="expression" priority="217" id="{00000000-000E-0000-0000-0000D9000000}">
            <xm:f>AND(ISNUMBER(V56),V56*100&lt;'KPI Engine (Final)'!$B$200)</xm:f>
            <x14:dxf>
              <font>
                <b/>
                <color rgb="FFE4572E"/>
              </font>
            </x14:dxf>
          </x14:cfRule>
          <xm:sqref>V68</xm:sqref>
        </x14:conditionalFormatting>
        <x14:conditionalFormatting xmlns:xm="http://schemas.microsoft.com/office/excel/2006/main">
          <x14:cfRule type="expression" priority="218" id="{00000000-000E-0000-0000-0000DA000000}">
            <xm:f>AND(ISNUMBER(B207),B207*100&gt;='KPI Engine (Final)'!$B$201)</xm:f>
            <x14:dxf>
              <font>
                <b/>
                <color rgb="FF2FBF9B"/>
              </font>
            </x14:dxf>
          </x14:cfRule>
          <x14:cfRule type="expression" priority="219" id="{00000000-000E-0000-0000-0000DB000000}">
            <xm:f>AND(ISNUMBER(B207),B207*100&gt;='KPI Engine (Final)'!$B$200,B207*100&lt;'KPI Engine (Final)'!$B$201)</xm:f>
            <x14:dxf>
              <font>
                <b/>
                <color rgb="FFE3B341"/>
              </font>
            </x14:dxf>
          </x14:cfRule>
          <x14:cfRule type="expression" priority="220" id="{00000000-000E-0000-0000-0000DC000000}">
            <xm:f>AND(ISNUMBER(B207),B207*100&lt;'KPI Engine (Final)'!$B$200)</xm:f>
            <x14:dxf>
              <font>
                <b/>
                <color rgb="FFE4572E"/>
              </font>
            </x14:dxf>
          </x14:cfRule>
          <xm:sqref>B242</xm:sqref>
        </x14:conditionalFormatting>
        <x14:conditionalFormatting xmlns:xm="http://schemas.microsoft.com/office/excel/2006/main">
          <x14:cfRule type="expression" priority="221" id="{00000000-000E-0000-0000-0000DD000000}">
            <xm:f>AND(ISNUMBER(K207),K207*100&gt;='KPI Engine (Final)'!$B$201)</xm:f>
            <x14:dxf>
              <font>
                <b/>
                <color rgb="FF2FBF9B"/>
              </font>
            </x14:dxf>
          </x14:cfRule>
          <x14:cfRule type="expression" priority="222" id="{00000000-000E-0000-0000-0000DE000000}">
            <xm:f>AND(ISNUMBER(K207),K207*100&gt;='KPI Engine (Final)'!$B$200,K207*100&lt;'KPI Engine (Final)'!$B$201)</xm:f>
            <x14:dxf>
              <font>
                <b/>
                <color rgb="FFE3B341"/>
              </font>
            </x14:dxf>
          </x14:cfRule>
          <x14:cfRule type="expression" priority="223" id="{00000000-000E-0000-0000-0000DF000000}">
            <xm:f>AND(ISNUMBER(K207),K207*100&lt;'KPI Engine (Final)'!$B$200)</xm:f>
            <x14:dxf>
              <font>
                <b/>
                <color rgb="FFE4572E"/>
              </font>
            </x14:dxf>
          </x14:cfRule>
          <xm:sqref>K242</xm:sqref>
        </x14:conditionalFormatting>
        <x14:conditionalFormatting xmlns:xm="http://schemas.microsoft.com/office/excel/2006/main">
          <x14:cfRule type="expression" priority="224" id="{00000000-000E-0000-0000-0000E0000000}">
            <xm:f>AND(ISNUMBER(V207),V207*100&gt;='KPI Engine (Final)'!$B$201)</xm:f>
            <x14:dxf>
              <font>
                <b/>
                <color rgb="FF2FBF9B"/>
              </font>
            </x14:dxf>
          </x14:cfRule>
          <x14:cfRule type="expression" priority="225" id="{00000000-000E-0000-0000-0000E1000000}">
            <xm:f>AND(ISNUMBER(V207),V207*100&gt;='KPI Engine (Final)'!$B$200,V207*100&lt;'KPI Engine (Final)'!$B$201)</xm:f>
            <x14:dxf>
              <font>
                <b/>
                <color rgb="FFE3B341"/>
              </font>
            </x14:dxf>
          </x14:cfRule>
          <x14:cfRule type="expression" priority="226" id="{00000000-000E-0000-0000-0000E2000000}">
            <xm:f>AND(ISNUMBER(V207),V207*100&lt;'KPI Engine (Final)'!$B$200)</xm:f>
            <x14:dxf>
              <font>
                <b/>
                <color rgb="FFE4572E"/>
              </font>
            </x14:dxf>
          </x14:cfRule>
          <xm:sqref>V242</xm:sqref>
        </x14:conditionalFormatting>
        <x14:conditionalFormatting xmlns:xm="http://schemas.microsoft.com/office/excel/2006/main">
          <x14:cfRule type="expression" priority="227" id="{00000000-000E-0000-0000-0000E3000000}">
            <xm:f>AND(ISNUMBER(B226),B226*100&gt;='KPI Engine (Final)'!$B$201)</xm:f>
            <x14:dxf>
              <font>
                <b/>
                <color rgb="FF2FBF9B"/>
              </font>
            </x14:dxf>
          </x14:cfRule>
          <x14:cfRule type="expression" priority="228" id="{00000000-000E-0000-0000-0000E4000000}">
            <xm:f>AND(ISNUMBER(B226),B226*100&gt;='KPI Engine (Final)'!$B$200,B226*100&lt;'KPI Engine (Final)'!$B$201)</xm:f>
            <x14:dxf>
              <font>
                <b/>
                <color rgb="FFE3B341"/>
              </font>
            </x14:dxf>
          </x14:cfRule>
          <x14:cfRule type="expression" priority="229" id="{00000000-000E-0000-0000-0000E5000000}">
            <xm:f>AND(ISNUMBER(B226),B226*100&lt;'KPI Engine (Final)'!$B$200)</xm:f>
            <x14:dxf>
              <font>
                <b/>
                <color rgb="FFE4572E"/>
              </font>
            </x14:dxf>
          </x14:cfRule>
          <xm:sqref>B261</xm:sqref>
        </x14:conditionalFormatting>
        <x14:conditionalFormatting xmlns:xm="http://schemas.microsoft.com/office/excel/2006/main">
          <x14:cfRule type="expression" priority="230" id="{00000000-000E-0000-0000-0000E6000000}">
            <xm:f>AND(ISNUMBER(K226),K226*100&gt;='KPI Engine (Final)'!$B$201)</xm:f>
            <x14:dxf>
              <font>
                <b/>
                <color rgb="FF2FBF9B"/>
              </font>
            </x14:dxf>
          </x14:cfRule>
          <x14:cfRule type="expression" priority="231" id="{00000000-000E-0000-0000-0000E7000000}">
            <xm:f>AND(ISNUMBER(K226),K226*100&gt;='KPI Engine (Final)'!$B$200,K226*100&lt;'KPI Engine (Final)'!$B$201)</xm:f>
            <x14:dxf>
              <font>
                <b/>
                <color rgb="FFE3B341"/>
              </font>
            </x14:dxf>
          </x14:cfRule>
          <x14:cfRule type="expression" priority="232" id="{00000000-000E-0000-0000-0000E8000000}">
            <xm:f>AND(ISNUMBER(K226),K226*100&lt;'KPI Engine (Final)'!$B$200)</xm:f>
            <x14:dxf>
              <font>
                <b/>
                <color rgb="FFE4572E"/>
              </font>
            </x14:dxf>
          </x14:cfRule>
          <xm:sqref>K261</xm:sqref>
        </x14:conditionalFormatting>
        <x14:conditionalFormatting xmlns:xm="http://schemas.microsoft.com/office/excel/2006/main">
          <x14:cfRule type="expression" priority="233" id="{00000000-000E-0000-0000-0000E9000000}">
            <xm:f>AND(ISNUMBER(V226),V226*100&gt;='KPI Engine (Final)'!$B$201)</xm:f>
            <x14:dxf>
              <font>
                <b/>
                <color rgb="FF2FBF9B"/>
              </font>
            </x14:dxf>
          </x14:cfRule>
          <x14:cfRule type="expression" priority="234" id="{00000000-000E-0000-0000-0000EA000000}">
            <xm:f>AND(ISNUMBER(V226),V226*100&gt;='KPI Engine (Final)'!$B$200,V226*100&lt;'KPI Engine (Final)'!$B$201)</xm:f>
            <x14:dxf>
              <font>
                <b/>
                <color rgb="FFE3B341"/>
              </font>
            </x14:dxf>
          </x14:cfRule>
          <x14:cfRule type="expression" priority="235" id="{00000000-000E-0000-0000-0000EB000000}">
            <xm:f>AND(ISNUMBER(V226),V226*100&lt;'KPI Engine (Final)'!$B$200)</xm:f>
            <x14:dxf>
              <font>
                <b/>
                <color rgb="FFE4572E"/>
              </font>
            </x14:dxf>
          </x14:cfRule>
          <xm:sqref>V261</xm:sqref>
        </x14:conditionalFormatting>
        <x14:conditionalFormatting xmlns:xm="http://schemas.microsoft.com/office/excel/2006/main">
          <x14:cfRule type="expression" priority="236" id="{00000000-000E-0000-0000-0000EC000000}">
            <xm:f>AND(ISNUMBER(B245),B245*100&gt;='KPI Engine (Final)'!$B$201)</xm:f>
            <x14:dxf>
              <font>
                <b/>
                <color rgb="FF2FBF9B"/>
              </font>
            </x14:dxf>
          </x14:cfRule>
          <x14:cfRule type="expression" priority="237" id="{00000000-000E-0000-0000-0000ED000000}">
            <xm:f>AND(ISNUMBER(B245),B245*100&gt;='KPI Engine (Final)'!$B$200,B245*100&lt;'KPI Engine (Final)'!$B$201)</xm:f>
            <x14:dxf>
              <font>
                <b/>
                <color rgb="FFE3B341"/>
              </font>
            </x14:dxf>
          </x14:cfRule>
          <x14:cfRule type="expression" priority="238" id="{00000000-000E-0000-0000-0000EE000000}">
            <xm:f>AND(ISNUMBER(B245),B245*100&lt;'KPI Engine (Final)'!$B$200)</xm:f>
            <x14:dxf>
              <font>
                <b/>
                <color rgb="FFE4572E"/>
              </font>
            </x14:dxf>
          </x14:cfRule>
          <xm:sqref>B280</xm:sqref>
        </x14:conditionalFormatting>
        <x14:conditionalFormatting xmlns:xm="http://schemas.microsoft.com/office/excel/2006/main">
          <x14:cfRule type="expression" priority="239" id="{00000000-000E-0000-0000-0000EF000000}">
            <xm:f>AND(ISNUMBER(K245),K245*100&gt;='KPI Engine (Final)'!$B$201)</xm:f>
            <x14:dxf>
              <font>
                <b/>
                <color rgb="FF2FBF9B"/>
              </font>
            </x14:dxf>
          </x14:cfRule>
          <x14:cfRule type="expression" priority="240" id="{00000000-000E-0000-0000-0000F0000000}">
            <xm:f>AND(ISNUMBER(K245),K245*100&gt;='KPI Engine (Final)'!$B$200,K245*100&lt;'KPI Engine (Final)'!$B$201)</xm:f>
            <x14:dxf>
              <font>
                <b/>
                <color rgb="FFE3B341"/>
              </font>
            </x14:dxf>
          </x14:cfRule>
          <x14:cfRule type="expression" priority="241" id="{00000000-000E-0000-0000-0000F1000000}">
            <xm:f>AND(ISNUMBER(K245),K245*100&lt;'KPI Engine (Final)'!$B$200)</xm:f>
            <x14:dxf>
              <font>
                <b/>
                <color rgb="FFE4572E"/>
              </font>
            </x14:dxf>
          </x14:cfRule>
          <xm:sqref>K280</xm:sqref>
        </x14:conditionalFormatting>
        <x14:conditionalFormatting xmlns:xm="http://schemas.microsoft.com/office/excel/2006/main">
          <x14:cfRule type="expression" priority="242" id="{00000000-000E-0000-0000-0000F2000000}">
            <xm:f>AND(ISNUMBER(V245),V245*100&gt;='KPI Engine (Final)'!$B$201)</xm:f>
            <x14:dxf>
              <font>
                <b/>
                <color rgb="FF2FBF9B"/>
              </font>
            </x14:dxf>
          </x14:cfRule>
          <x14:cfRule type="expression" priority="243" id="{00000000-000E-0000-0000-0000F3000000}">
            <xm:f>AND(ISNUMBER(V245),V245*100&gt;='KPI Engine (Final)'!$B$200,V245*100&lt;'KPI Engine (Final)'!$B$201)</xm:f>
            <x14:dxf>
              <font>
                <b/>
                <color rgb="FFE3B341"/>
              </font>
            </x14:dxf>
          </x14:cfRule>
          <x14:cfRule type="expression" priority="244" id="{00000000-000E-0000-0000-0000F4000000}">
            <xm:f>AND(ISNUMBER(V245),V245*100&lt;'KPI Engine (Final)'!$B$200)</xm:f>
            <x14:dxf>
              <font>
                <b/>
                <color rgb="FFE4572E"/>
              </font>
            </x14:dxf>
          </x14:cfRule>
          <xm:sqref>V280</xm:sqref>
        </x14:conditionalFormatting>
        <x14:conditionalFormatting xmlns:xm="http://schemas.microsoft.com/office/excel/2006/main">
          <x14:cfRule type="expression" priority="245" id="{00000000-000E-0000-0000-0000F5000000}">
            <xm:f>AND(ISNUMBER(B264),B264*100&gt;='KPI Engine (Final)'!$B$201)</xm:f>
            <x14:dxf>
              <font>
                <b/>
                <color rgb="FF2FBF9B"/>
              </font>
            </x14:dxf>
          </x14:cfRule>
          <x14:cfRule type="expression" priority="246" id="{00000000-000E-0000-0000-0000F6000000}">
            <xm:f>AND(ISNUMBER(B264),B264*100&gt;='KPI Engine (Final)'!$B$200,B264*100&lt;'KPI Engine (Final)'!$B$201)</xm:f>
            <x14:dxf>
              <font>
                <b/>
                <color rgb="FFE3B341"/>
              </font>
            </x14:dxf>
          </x14:cfRule>
          <x14:cfRule type="expression" priority="247" id="{00000000-000E-0000-0000-0000F7000000}">
            <xm:f>AND(ISNUMBER(B264),B264*100&lt;'KPI Engine (Final)'!$B$200)</xm:f>
            <x14:dxf>
              <font>
                <b/>
                <color rgb="FFE4572E"/>
              </font>
            </x14:dxf>
          </x14:cfRule>
          <xm:sqref>B299</xm:sqref>
        </x14:conditionalFormatting>
        <x14:conditionalFormatting xmlns:xm="http://schemas.microsoft.com/office/excel/2006/main">
          <x14:cfRule type="expression" priority="248" id="{00000000-000E-0000-0000-0000F8000000}">
            <xm:f>AND(ISNUMBER(K264),K264*100&gt;='KPI Engine (Final)'!$B$201)</xm:f>
            <x14:dxf>
              <font>
                <b/>
                <color rgb="FF2FBF9B"/>
              </font>
            </x14:dxf>
          </x14:cfRule>
          <x14:cfRule type="expression" priority="249" id="{00000000-000E-0000-0000-0000F9000000}">
            <xm:f>AND(ISNUMBER(K264),K264*100&gt;='KPI Engine (Final)'!$B$200,K264*100&lt;'KPI Engine (Final)'!$B$201)</xm:f>
            <x14:dxf>
              <font>
                <b/>
                <color rgb="FFE3B341"/>
              </font>
            </x14:dxf>
          </x14:cfRule>
          <x14:cfRule type="expression" priority="250" id="{00000000-000E-0000-0000-0000FA000000}">
            <xm:f>AND(ISNUMBER(K264),K264*100&lt;'KPI Engine (Final)'!$B$200)</xm:f>
            <x14:dxf>
              <font>
                <b/>
                <color rgb="FFE4572E"/>
              </font>
            </x14:dxf>
          </x14:cfRule>
          <xm:sqref>K299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3E905-A38A-4659-92BC-921EE5C6FB99}">
  <sheetPr>
    <tabColor rgb="FFD4A017"/>
  </sheetPr>
  <dimension ref="A1:M310"/>
  <sheetViews>
    <sheetView showGridLines="0" tabSelected="1" topLeftCell="A97" zoomScaleNormal="100" workbookViewId="0">
      <selection activeCell="L109" sqref="L109"/>
    </sheetView>
  </sheetViews>
  <sheetFormatPr defaultColWidth="8.5" defaultRowHeight="13.8"/>
  <cols>
    <col min="1" max="1" width="38" style="14" customWidth="1"/>
    <col min="2" max="13" width="12" style="14" customWidth="1"/>
  </cols>
  <sheetData>
    <row r="1" spans="1:11" ht="15.75" customHeight="1">
      <c r="A1" s="4"/>
    </row>
    <row r="2" spans="1:11" ht="15" customHeight="1">
      <c r="A2" s="24"/>
    </row>
    <row r="3" spans="1:11" ht="15" customHeight="1">
      <c r="A3" s="5" t="s">
        <v>518</v>
      </c>
    </row>
    <row r="4" spans="1:11" ht="38.25" customHeight="1">
      <c r="A4" s="11" t="s">
        <v>110</v>
      </c>
      <c r="B4" s="11" t="s">
        <v>111</v>
      </c>
      <c r="C4" s="11" t="s">
        <v>112</v>
      </c>
      <c r="D4" s="11" t="s">
        <v>80</v>
      </c>
      <c r="E4" s="11" t="s">
        <v>113</v>
      </c>
      <c r="F4" s="11" t="s">
        <v>114</v>
      </c>
      <c r="G4" s="11" t="s">
        <v>115</v>
      </c>
      <c r="H4" s="11" t="s">
        <v>116</v>
      </c>
      <c r="I4" s="11" t="s">
        <v>117</v>
      </c>
      <c r="J4" s="11" t="s">
        <v>118</v>
      </c>
      <c r="K4" s="11" t="s">
        <v>119</v>
      </c>
    </row>
    <row r="5" spans="1:11" ht="15" customHeight="1">
      <c r="A5" s="6" t="s">
        <v>57</v>
      </c>
      <c r="B5" s="28">
        <v>2</v>
      </c>
      <c r="C5" s="7">
        <v>710</v>
      </c>
      <c r="D5" s="7">
        <v>620</v>
      </c>
      <c r="E5" s="7">
        <v>69</v>
      </c>
      <c r="F5" s="7">
        <v>21</v>
      </c>
      <c r="G5" s="7">
        <f t="shared" ref="G5:G13" si="0">H5+I5</f>
        <v>620</v>
      </c>
      <c r="H5" s="28">
        <v>617</v>
      </c>
      <c r="I5" s="28">
        <v>3</v>
      </c>
      <c r="J5" s="7">
        <v>0</v>
      </c>
      <c r="K5" s="12">
        <f t="shared" ref="K5:K22" si="1">IFERROR(H5/G5,"")</f>
        <v>0.99516129032258061</v>
      </c>
    </row>
    <row r="6" spans="1:11" ht="15" customHeight="1">
      <c r="A6" s="6" t="s">
        <v>58</v>
      </c>
      <c r="B6" s="7">
        <v>3</v>
      </c>
      <c r="C6" s="7">
        <v>205</v>
      </c>
      <c r="D6" s="7">
        <v>183</v>
      </c>
      <c r="E6" s="7">
        <v>10</v>
      </c>
      <c r="F6" s="7">
        <v>12</v>
      </c>
      <c r="G6" s="7">
        <f t="shared" si="0"/>
        <v>183</v>
      </c>
      <c r="H6" s="28">
        <v>182</v>
      </c>
      <c r="I6" s="28">
        <v>1</v>
      </c>
      <c r="J6" s="7">
        <v>0</v>
      </c>
      <c r="K6" s="12">
        <f t="shared" si="1"/>
        <v>0.99453551912568305</v>
      </c>
    </row>
    <row r="7" spans="1:11" ht="15" customHeight="1">
      <c r="A7" s="6" t="s">
        <v>16</v>
      </c>
      <c r="B7" s="7">
        <v>14</v>
      </c>
      <c r="C7" s="7">
        <v>524</v>
      </c>
      <c r="D7" s="7">
        <v>432</v>
      </c>
      <c r="E7" s="7">
        <v>52</v>
      </c>
      <c r="F7" s="7">
        <v>40</v>
      </c>
      <c r="G7" s="7">
        <f t="shared" si="0"/>
        <v>432</v>
      </c>
      <c r="H7" s="28">
        <v>431</v>
      </c>
      <c r="I7" s="28">
        <v>1</v>
      </c>
      <c r="J7" s="7">
        <v>0</v>
      </c>
      <c r="K7" s="12">
        <f t="shared" si="1"/>
        <v>0.99768518518518523</v>
      </c>
    </row>
    <row r="8" spans="1:11" ht="15" customHeight="1">
      <c r="A8" s="6" t="s">
        <v>59</v>
      </c>
      <c r="B8" s="7">
        <v>14</v>
      </c>
      <c r="C8" s="7">
        <v>137</v>
      </c>
      <c r="D8" s="7">
        <v>109</v>
      </c>
      <c r="E8" s="7">
        <v>9</v>
      </c>
      <c r="F8" s="7">
        <v>19</v>
      </c>
      <c r="G8" s="7">
        <f t="shared" si="0"/>
        <v>107</v>
      </c>
      <c r="H8" s="28">
        <v>106</v>
      </c>
      <c r="I8" s="28">
        <v>1</v>
      </c>
      <c r="J8" s="7">
        <v>2</v>
      </c>
      <c r="K8" s="12">
        <f t="shared" si="1"/>
        <v>0.99065420560747663</v>
      </c>
    </row>
    <row r="9" spans="1:11" ht="15" customHeight="1">
      <c r="A9" s="6" t="s">
        <v>70</v>
      </c>
      <c r="B9" s="7">
        <v>7</v>
      </c>
      <c r="C9" s="7">
        <v>3</v>
      </c>
      <c r="D9" s="7">
        <v>1</v>
      </c>
      <c r="E9" s="7">
        <v>2</v>
      </c>
      <c r="F9" s="7">
        <v>0</v>
      </c>
      <c r="G9" s="7">
        <f t="shared" si="0"/>
        <v>1</v>
      </c>
      <c r="H9" s="7">
        <v>0</v>
      </c>
      <c r="I9" s="7">
        <v>1</v>
      </c>
      <c r="J9" s="7">
        <v>0</v>
      </c>
      <c r="K9" s="12">
        <f t="shared" si="1"/>
        <v>0</v>
      </c>
    </row>
    <row r="10" spans="1:11" ht="15" customHeight="1">
      <c r="A10" s="6" t="s">
        <v>71</v>
      </c>
      <c r="B10" s="7">
        <v>7</v>
      </c>
      <c r="C10" s="7">
        <v>6</v>
      </c>
      <c r="D10" s="7">
        <v>0</v>
      </c>
      <c r="E10" s="7">
        <v>6</v>
      </c>
      <c r="F10" s="7">
        <v>0</v>
      </c>
      <c r="G10" s="7">
        <f t="shared" si="0"/>
        <v>0</v>
      </c>
      <c r="H10" s="7">
        <v>0</v>
      </c>
      <c r="I10" s="7">
        <v>0</v>
      </c>
      <c r="J10" s="7">
        <v>0</v>
      </c>
      <c r="K10" s="12" t="str">
        <f t="shared" si="1"/>
        <v/>
      </c>
    </row>
    <row r="11" spans="1:11" ht="15" customHeight="1">
      <c r="A11" s="6" t="s">
        <v>72</v>
      </c>
      <c r="B11" s="7">
        <v>7</v>
      </c>
      <c r="C11" s="7">
        <v>37</v>
      </c>
      <c r="D11" s="7">
        <v>0</v>
      </c>
      <c r="E11" s="7">
        <v>37</v>
      </c>
      <c r="F11" s="7">
        <v>0</v>
      </c>
      <c r="G11" s="7">
        <f t="shared" si="0"/>
        <v>0</v>
      </c>
      <c r="H11" s="7">
        <v>0</v>
      </c>
      <c r="I11" s="7">
        <v>0</v>
      </c>
      <c r="J11" s="7">
        <v>0</v>
      </c>
      <c r="K11" s="12" t="str">
        <f t="shared" si="1"/>
        <v/>
      </c>
    </row>
    <row r="12" spans="1:11" ht="15" customHeight="1">
      <c r="A12" s="6" t="s">
        <v>73</v>
      </c>
      <c r="B12" s="7">
        <v>7</v>
      </c>
      <c r="C12" s="7">
        <v>28</v>
      </c>
      <c r="D12" s="7">
        <v>20</v>
      </c>
      <c r="E12" s="7">
        <v>7</v>
      </c>
      <c r="F12" s="7">
        <v>1</v>
      </c>
      <c r="G12" s="7">
        <f t="shared" si="0"/>
        <v>16</v>
      </c>
      <c r="H12" s="7">
        <v>5</v>
      </c>
      <c r="I12" s="7">
        <v>11</v>
      </c>
      <c r="J12" s="7">
        <v>4</v>
      </c>
      <c r="K12" s="12">
        <f t="shared" si="1"/>
        <v>0.3125</v>
      </c>
    </row>
    <row r="13" spans="1:11" ht="15" customHeight="1">
      <c r="A13" s="6" t="s">
        <v>74</v>
      </c>
      <c r="B13" s="7">
        <v>7</v>
      </c>
      <c r="C13" s="7">
        <v>163</v>
      </c>
      <c r="D13" s="7">
        <v>117</v>
      </c>
      <c r="E13" s="7">
        <v>41</v>
      </c>
      <c r="F13" s="7">
        <v>5</v>
      </c>
      <c r="G13" s="7">
        <f t="shared" si="0"/>
        <v>2</v>
      </c>
      <c r="H13" s="7">
        <v>2</v>
      </c>
      <c r="I13" s="7">
        <v>0</v>
      </c>
      <c r="J13" s="7">
        <v>115</v>
      </c>
      <c r="K13" s="12">
        <f t="shared" si="1"/>
        <v>1</v>
      </c>
    </row>
    <row r="14" spans="1:11" ht="15" customHeight="1">
      <c r="A14" s="6" t="s">
        <v>30</v>
      </c>
      <c r="B14" s="7">
        <v>30</v>
      </c>
      <c r="C14" s="7">
        <v>5</v>
      </c>
      <c r="D14" s="7">
        <v>0</v>
      </c>
      <c r="E14" s="7">
        <v>5</v>
      </c>
      <c r="F14" s="7">
        <v>0</v>
      </c>
      <c r="G14" s="7">
        <f>D14-J14</f>
        <v>0</v>
      </c>
      <c r="H14" s="7">
        <v>0</v>
      </c>
      <c r="I14" s="7">
        <f>D14-J14-H14</f>
        <v>0</v>
      </c>
      <c r="J14" s="7">
        <v>0</v>
      </c>
      <c r="K14" s="12" t="str">
        <f t="shared" si="1"/>
        <v/>
      </c>
    </row>
    <row r="15" spans="1:11" ht="15" customHeight="1">
      <c r="A15" s="6" t="s">
        <v>31</v>
      </c>
      <c r="B15" s="7">
        <v>30</v>
      </c>
      <c r="C15" s="7">
        <v>4</v>
      </c>
      <c r="D15" s="7">
        <v>0</v>
      </c>
      <c r="E15" s="7">
        <v>4</v>
      </c>
      <c r="F15" s="7">
        <v>0</v>
      </c>
      <c r="G15" s="7">
        <f>D15-J15</f>
        <v>0</v>
      </c>
      <c r="H15" s="7">
        <v>0</v>
      </c>
      <c r="I15" s="7">
        <f>D15-J15-H15</f>
        <v>0</v>
      </c>
      <c r="J15" s="7">
        <v>0</v>
      </c>
      <c r="K15" s="12" t="str">
        <f t="shared" si="1"/>
        <v/>
      </c>
    </row>
    <row r="16" spans="1:11" ht="15" customHeight="1">
      <c r="A16" s="6" t="s">
        <v>32</v>
      </c>
      <c r="B16" s="7">
        <v>30</v>
      </c>
      <c r="C16" s="7">
        <v>12</v>
      </c>
      <c r="D16" s="7">
        <v>2</v>
      </c>
      <c r="E16" s="7">
        <v>10</v>
      </c>
      <c r="F16" s="7">
        <v>0</v>
      </c>
      <c r="G16" s="7">
        <f>D16-J16</f>
        <v>2</v>
      </c>
      <c r="H16" s="7">
        <v>0</v>
      </c>
      <c r="I16" s="7">
        <f>D16-J16-H16</f>
        <v>2</v>
      </c>
      <c r="J16" s="7">
        <v>0</v>
      </c>
      <c r="K16" s="12">
        <f t="shared" si="1"/>
        <v>0</v>
      </c>
    </row>
    <row r="17" spans="1:11" ht="15" customHeight="1">
      <c r="A17" s="6" t="s">
        <v>33</v>
      </c>
      <c r="B17" s="7">
        <v>30</v>
      </c>
      <c r="C17" s="7">
        <v>4</v>
      </c>
      <c r="D17" s="7">
        <v>3</v>
      </c>
      <c r="E17" s="7">
        <v>1</v>
      </c>
      <c r="F17" s="7">
        <v>0</v>
      </c>
      <c r="G17" s="7">
        <f>D17-J17</f>
        <v>3</v>
      </c>
      <c r="H17" s="7">
        <v>0</v>
      </c>
      <c r="I17" s="7">
        <f>D17-J17-H17</f>
        <v>3</v>
      </c>
      <c r="J17" s="7">
        <v>0</v>
      </c>
      <c r="K17" s="12">
        <f t="shared" si="1"/>
        <v>0</v>
      </c>
    </row>
    <row r="18" spans="1:11" ht="15" customHeight="1">
      <c r="A18" s="6" t="s">
        <v>34</v>
      </c>
      <c r="B18" s="7">
        <v>30</v>
      </c>
      <c r="C18" s="7">
        <v>9</v>
      </c>
      <c r="D18" s="7">
        <v>2</v>
      </c>
      <c r="E18" s="7">
        <v>7</v>
      </c>
      <c r="F18" s="7">
        <v>0</v>
      </c>
      <c r="G18" s="7">
        <f>D18-J18</f>
        <v>2</v>
      </c>
      <c r="H18" s="7">
        <v>0</v>
      </c>
      <c r="I18" s="7">
        <f>D18-J18-H18</f>
        <v>2</v>
      </c>
      <c r="J18" s="7">
        <v>0</v>
      </c>
      <c r="K18" s="12">
        <f t="shared" si="1"/>
        <v>0</v>
      </c>
    </row>
    <row r="19" spans="1:11" ht="15" customHeight="1">
      <c r="A19" s="8" t="s">
        <v>120</v>
      </c>
      <c r="B19" s="9"/>
      <c r="C19" s="9">
        <f t="shared" ref="C19:J19" si="2">C9+C10+C11+C12+C13</f>
        <v>237</v>
      </c>
      <c r="D19" s="9">
        <f t="shared" si="2"/>
        <v>138</v>
      </c>
      <c r="E19" s="9">
        <f t="shared" si="2"/>
        <v>93</v>
      </c>
      <c r="F19" s="9">
        <f t="shared" si="2"/>
        <v>6</v>
      </c>
      <c r="G19" s="9">
        <f t="shared" si="2"/>
        <v>19</v>
      </c>
      <c r="H19" s="9">
        <f t="shared" si="2"/>
        <v>7</v>
      </c>
      <c r="I19" s="9">
        <f t="shared" si="2"/>
        <v>12</v>
      </c>
      <c r="J19" s="9">
        <f t="shared" si="2"/>
        <v>119</v>
      </c>
      <c r="K19" s="13">
        <f t="shared" si="1"/>
        <v>0.36842105263157893</v>
      </c>
    </row>
    <row r="20" spans="1:11" ht="15" customHeight="1">
      <c r="A20" s="8" t="s">
        <v>121</v>
      </c>
      <c r="B20" s="9"/>
      <c r="C20" s="9">
        <f t="shared" ref="C20:J20" si="3">C14+C15+C16+C17+C18</f>
        <v>34</v>
      </c>
      <c r="D20" s="9">
        <f t="shared" si="3"/>
        <v>7</v>
      </c>
      <c r="E20" s="9">
        <f t="shared" si="3"/>
        <v>27</v>
      </c>
      <c r="F20" s="9">
        <f t="shared" si="3"/>
        <v>0</v>
      </c>
      <c r="G20" s="9">
        <f t="shared" si="3"/>
        <v>7</v>
      </c>
      <c r="H20" s="9">
        <f t="shared" si="3"/>
        <v>0</v>
      </c>
      <c r="I20" s="9">
        <f t="shared" si="3"/>
        <v>7</v>
      </c>
      <c r="J20" s="9">
        <f t="shared" si="3"/>
        <v>0</v>
      </c>
      <c r="K20" s="13">
        <f t="shared" si="1"/>
        <v>0</v>
      </c>
    </row>
    <row r="21" spans="1:11" ht="15" customHeight="1">
      <c r="A21" s="8" t="s">
        <v>122</v>
      </c>
      <c r="B21" s="9"/>
      <c r="C21" s="9">
        <f t="shared" ref="C21:J21" si="4">C5+C6+C7+C8</f>
        <v>1576</v>
      </c>
      <c r="D21" s="9">
        <f t="shared" si="4"/>
        <v>1344</v>
      </c>
      <c r="E21" s="9">
        <f t="shared" si="4"/>
        <v>140</v>
      </c>
      <c r="F21" s="9">
        <f t="shared" si="4"/>
        <v>92</v>
      </c>
      <c r="G21" s="9">
        <f t="shared" si="4"/>
        <v>1342</v>
      </c>
      <c r="H21" s="9">
        <f t="shared" si="4"/>
        <v>1336</v>
      </c>
      <c r="I21" s="9">
        <f t="shared" si="4"/>
        <v>6</v>
      </c>
      <c r="J21" s="9">
        <f t="shared" si="4"/>
        <v>2</v>
      </c>
      <c r="K21" s="13">
        <f t="shared" si="1"/>
        <v>0.99552906110283157</v>
      </c>
    </row>
    <row r="22" spans="1:11" ht="15" customHeight="1">
      <c r="A22" s="8" t="s">
        <v>123</v>
      </c>
      <c r="C22" s="9">
        <f t="shared" ref="C22:J22" si="5">C21+C19+C20</f>
        <v>1847</v>
      </c>
      <c r="D22" s="9">
        <f t="shared" si="5"/>
        <v>1489</v>
      </c>
      <c r="E22" s="9">
        <f t="shared" si="5"/>
        <v>260</v>
      </c>
      <c r="F22" s="9">
        <f t="shared" si="5"/>
        <v>98</v>
      </c>
      <c r="G22" s="9">
        <f t="shared" si="5"/>
        <v>1368</v>
      </c>
      <c r="H22" s="9">
        <f t="shared" si="5"/>
        <v>1343</v>
      </c>
      <c r="I22" s="9">
        <f t="shared" si="5"/>
        <v>25</v>
      </c>
      <c r="J22" s="9">
        <f t="shared" si="5"/>
        <v>121</v>
      </c>
      <c r="K22" s="13">
        <f t="shared" si="1"/>
        <v>0.98172514619883045</v>
      </c>
    </row>
    <row r="25" spans="1:11" ht="15" customHeight="1">
      <c r="A25" s="5" t="s">
        <v>124</v>
      </c>
    </row>
    <row r="26" spans="1:11" ht="33" customHeight="1">
      <c r="A26" s="11" t="s">
        <v>125</v>
      </c>
      <c r="B26" s="11" t="s">
        <v>112</v>
      </c>
      <c r="C26" s="11" t="s">
        <v>80</v>
      </c>
      <c r="D26" s="11" t="s">
        <v>126</v>
      </c>
      <c r="E26" s="11" t="s">
        <v>127</v>
      </c>
      <c r="F26" s="11" t="s">
        <v>128</v>
      </c>
      <c r="G26" s="11" t="s">
        <v>129</v>
      </c>
      <c r="H26" s="11" t="s">
        <v>118</v>
      </c>
      <c r="I26" s="11" t="s">
        <v>130</v>
      </c>
    </row>
    <row r="27" spans="1:11" ht="15" customHeight="1">
      <c r="A27" s="6" t="s">
        <v>30</v>
      </c>
      <c r="B27" s="7">
        <f t="shared" ref="B27:C31" si="6">C14</f>
        <v>5</v>
      </c>
      <c r="C27" s="7">
        <f t="shared" si="6"/>
        <v>0</v>
      </c>
      <c r="D27" s="7">
        <v>0</v>
      </c>
      <c r="E27" s="7">
        <v>0</v>
      </c>
      <c r="F27" s="7">
        <v>0</v>
      </c>
      <c r="G27" s="7">
        <v>0</v>
      </c>
      <c r="H27" s="7">
        <f>J14</f>
        <v>0</v>
      </c>
      <c r="I27" s="7">
        <f>E14</f>
        <v>5</v>
      </c>
    </row>
    <row r="28" spans="1:11" ht="15" customHeight="1">
      <c r="A28" s="6" t="s">
        <v>31</v>
      </c>
      <c r="B28" s="7">
        <f t="shared" si="6"/>
        <v>4</v>
      </c>
      <c r="C28" s="7">
        <f t="shared" si="6"/>
        <v>0</v>
      </c>
      <c r="D28" s="7">
        <v>0</v>
      </c>
      <c r="E28" s="7">
        <v>0</v>
      </c>
      <c r="F28" s="7">
        <v>0</v>
      </c>
      <c r="G28" s="7">
        <v>0</v>
      </c>
      <c r="H28" s="7">
        <f>J15</f>
        <v>0</v>
      </c>
      <c r="I28" s="7">
        <f>E15</f>
        <v>4</v>
      </c>
    </row>
    <row r="29" spans="1:11" ht="15" customHeight="1">
      <c r="A29" s="6" t="s">
        <v>32</v>
      </c>
      <c r="B29" s="7">
        <f t="shared" si="6"/>
        <v>12</v>
      </c>
      <c r="C29" s="7">
        <f t="shared" si="6"/>
        <v>2</v>
      </c>
      <c r="D29" s="7">
        <v>0</v>
      </c>
      <c r="E29" s="7">
        <v>0</v>
      </c>
      <c r="F29" s="7">
        <v>0</v>
      </c>
      <c r="G29" s="7">
        <v>2</v>
      </c>
      <c r="H29" s="7">
        <f>J16</f>
        <v>0</v>
      </c>
      <c r="I29" s="7">
        <f>E16</f>
        <v>10</v>
      </c>
    </row>
    <row r="30" spans="1:11" ht="15" customHeight="1">
      <c r="A30" s="6" t="s">
        <v>33</v>
      </c>
      <c r="B30" s="7">
        <f t="shared" si="6"/>
        <v>4</v>
      </c>
      <c r="C30" s="7">
        <f t="shared" si="6"/>
        <v>3</v>
      </c>
      <c r="D30" s="7">
        <v>0</v>
      </c>
      <c r="E30" s="7">
        <v>0</v>
      </c>
      <c r="F30" s="7">
        <v>1</v>
      </c>
      <c r="G30" s="7">
        <v>2</v>
      </c>
      <c r="H30" s="7">
        <f>J17</f>
        <v>0</v>
      </c>
      <c r="I30" s="7">
        <f>E17</f>
        <v>1</v>
      </c>
    </row>
    <row r="31" spans="1:11" ht="15" customHeight="1">
      <c r="A31" s="6" t="s">
        <v>34</v>
      </c>
      <c r="B31" s="7">
        <f t="shared" si="6"/>
        <v>9</v>
      </c>
      <c r="C31" s="7">
        <f t="shared" si="6"/>
        <v>2</v>
      </c>
      <c r="D31" s="7">
        <v>0</v>
      </c>
      <c r="E31" s="7">
        <v>0</v>
      </c>
      <c r="F31" s="7">
        <v>0</v>
      </c>
      <c r="G31" s="7">
        <v>2</v>
      </c>
      <c r="H31" s="7">
        <f>J18</f>
        <v>0</v>
      </c>
      <c r="I31" s="7">
        <f>E18</f>
        <v>7</v>
      </c>
    </row>
    <row r="32" spans="1:11" ht="15" customHeight="1">
      <c r="A32" s="8" t="s">
        <v>131</v>
      </c>
      <c r="B32" s="9">
        <f t="shared" ref="B32:I32" si="7">B27+B28+B29+B30+B31</f>
        <v>34</v>
      </c>
      <c r="C32" s="9">
        <f t="shared" si="7"/>
        <v>7</v>
      </c>
      <c r="D32" s="9">
        <f t="shared" si="7"/>
        <v>0</v>
      </c>
      <c r="E32" s="9">
        <f t="shared" si="7"/>
        <v>0</v>
      </c>
      <c r="F32" s="9">
        <f t="shared" si="7"/>
        <v>1</v>
      </c>
      <c r="G32" s="9">
        <f t="shared" si="7"/>
        <v>6</v>
      </c>
      <c r="H32" s="9">
        <f t="shared" si="7"/>
        <v>0</v>
      </c>
      <c r="I32" s="9">
        <f t="shared" si="7"/>
        <v>27</v>
      </c>
    </row>
    <row r="35" spans="1:8" ht="15" customHeight="1">
      <c r="A35" s="5" t="s">
        <v>132</v>
      </c>
    </row>
    <row r="36" spans="1:8" ht="29.25" customHeight="1">
      <c r="A36" s="11" t="s">
        <v>133</v>
      </c>
      <c r="B36" s="11" t="s">
        <v>112</v>
      </c>
      <c r="C36" s="11" t="s">
        <v>80</v>
      </c>
      <c r="D36" s="11" t="s">
        <v>126</v>
      </c>
      <c r="E36" s="11" t="s">
        <v>134</v>
      </c>
      <c r="F36" s="11" t="s">
        <v>118</v>
      </c>
      <c r="G36" s="11" t="s">
        <v>130</v>
      </c>
      <c r="H36" s="11" t="s">
        <v>119</v>
      </c>
    </row>
    <row r="37" spans="1:8" ht="15" customHeight="1">
      <c r="A37" s="6" t="s">
        <v>70</v>
      </c>
      <c r="B37" s="7">
        <f t="shared" ref="B37:C41" si="8">C9</f>
        <v>3</v>
      </c>
      <c r="C37" s="7">
        <f t="shared" si="8"/>
        <v>1</v>
      </c>
      <c r="D37" s="7">
        <f t="shared" ref="D37:F41" si="9">H9</f>
        <v>0</v>
      </c>
      <c r="E37" s="7">
        <f t="shared" si="9"/>
        <v>1</v>
      </c>
      <c r="F37" s="7">
        <f t="shared" si="9"/>
        <v>0</v>
      </c>
      <c r="G37" s="7">
        <f>E9</f>
        <v>2</v>
      </c>
      <c r="H37" s="12">
        <f t="shared" ref="H37:H42" si="10">IFERROR(D37/(D37+E37),"")</f>
        <v>0</v>
      </c>
    </row>
    <row r="38" spans="1:8" ht="15" customHeight="1">
      <c r="A38" s="6" t="s">
        <v>71</v>
      </c>
      <c r="B38" s="7">
        <f t="shared" si="8"/>
        <v>6</v>
      </c>
      <c r="C38" s="7">
        <f t="shared" si="8"/>
        <v>0</v>
      </c>
      <c r="D38" s="7">
        <f t="shared" si="9"/>
        <v>0</v>
      </c>
      <c r="E38" s="7">
        <f t="shared" si="9"/>
        <v>0</v>
      </c>
      <c r="F38" s="7">
        <f t="shared" si="9"/>
        <v>0</v>
      </c>
      <c r="G38" s="7">
        <f>E10</f>
        <v>6</v>
      </c>
      <c r="H38" s="12" t="str">
        <f t="shared" si="10"/>
        <v/>
      </c>
    </row>
    <row r="39" spans="1:8" ht="15" customHeight="1">
      <c r="A39" s="6" t="s">
        <v>72</v>
      </c>
      <c r="B39" s="7">
        <f t="shared" si="8"/>
        <v>37</v>
      </c>
      <c r="C39" s="7">
        <f t="shared" si="8"/>
        <v>0</v>
      </c>
      <c r="D39" s="7">
        <f t="shared" si="9"/>
        <v>0</v>
      </c>
      <c r="E39" s="7">
        <f t="shared" si="9"/>
        <v>0</v>
      </c>
      <c r="F39" s="7">
        <f t="shared" si="9"/>
        <v>0</v>
      </c>
      <c r="G39" s="7">
        <f>E11</f>
        <v>37</v>
      </c>
      <c r="H39" s="12" t="str">
        <f t="shared" si="10"/>
        <v/>
      </c>
    </row>
    <row r="40" spans="1:8" ht="15" customHeight="1">
      <c r="A40" s="6" t="s">
        <v>73</v>
      </c>
      <c r="B40" s="7">
        <f t="shared" si="8"/>
        <v>28</v>
      </c>
      <c r="C40" s="7">
        <f t="shared" si="8"/>
        <v>20</v>
      </c>
      <c r="D40" s="7">
        <f t="shared" si="9"/>
        <v>5</v>
      </c>
      <c r="E40" s="7">
        <f t="shared" si="9"/>
        <v>11</v>
      </c>
      <c r="F40" s="7">
        <f t="shared" si="9"/>
        <v>4</v>
      </c>
      <c r="G40" s="7">
        <f>E12</f>
        <v>7</v>
      </c>
      <c r="H40" s="12">
        <f t="shared" si="10"/>
        <v>0.3125</v>
      </c>
    </row>
    <row r="41" spans="1:8" ht="15" customHeight="1">
      <c r="A41" s="6" t="s">
        <v>74</v>
      </c>
      <c r="B41" s="7">
        <f t="shared" si="8"/>
        <v>163</v>
      </c>
      <c r="C41" s="7">
        <f t="shared" si="8"/>
        <v>117</v>
      </c>
      <c r="D41" s="7">
        <f t="shared" si="9"/>
        <v>2</v>
      </c>
      <c r="E41" s="7">
        <f t="shared" si="9"/>
        <v>0</v>
      </c>
      <c r="F41" s="7">
        <f t="shared" si="9"/>
        <v>115</v>
      </c>
      <c r="G41" s="7">
        <f>E13</f>
        <v>41</v>
      </c>
      <c r="H41" s="12">
        <f t="shared" si="10"/>
        <v>1</v>
      </c>
    </row>
    <row r="42" spans="1:8" ht="15" customHeight="1">
      <c r="A42" s="8" t="s">
        <v>131</v>
      </c>
      <c r="B42" s="9">
        <f t="shared" ref="B42:G42" si="11">B37+B38+B39+B40+B41</f>
        <v>237</v>
      </c>
      <c r="C42" s="9">
        <f t="shared" si="11"/>
        <v>138</v>
      </c>
      <c r="D42" s="9">
        <f t="shared" si="11"/>
        <v>7</v>
      </c>
      <c r="E42" s="9">
        <f t="shared" si="11"/>
        <v>12</v>
      </c>
      <c r="F42" s="9">
        <f t="shared" si="11"/>
        <v>119</v>
      </c>
      <c r="G42" s="9">
        <f t="shared" si="11"/>
        <v>93</v>
      </c>
      <c r="H42" s="13">
        <f t="shared" si="10"/>
        <v>0.36842105263157893</v>
      </c>
    </row>
    <row r="45" spans="1:8" ht="15" customHeight="1">
      <c r="A45" s="5" t="s">
        <v>549</v>
      </c>
    </row>
    <row r="46" spans="1:8" ht="24.75" customHeight="1">
      <c r="A46" s="11" t="s">
        <v>135</v>
      </c>
      <c r="B46" s="11" t="inlineStr">
        <is>
          <t>WIR (2d)</t>
        </is>
      </c>
      <c r="C46" s="11" t="inlineStr">
        <is>
          <t>MIR (3d)</t>
        </is>
      </c>
      <c r="D46" s="11" t="inlineStr">
        <is>
          <t>SHD (14d)</t>
        </is>
      </c>
      <c r="E46" s="11" t="inlineStr">
        <is>
          <t>RFI (14d)</t>
        </is>
      </c>
      <c r="F46" s="11" t="inlineStr">
        <is>
          <t>SOR (7d)</t>
        </is>
      </c>
      <c r="G46" s="11" t="inlineStr">
        <is>
          <t>NCR (30d)</t>
        </is>
      </c>
    </row>
    <row r="47" spans="1:8" ht="15" customHeight="1">
      <c r="A47" s="6" t="s">
        <v>80</v>
      </c>
      <c r="B47" s="7">
        <f>$D$5</f>
        <v>620</v>
      </c>
      <c r="C47" s="7">
        <f>$D$6</f>
        <v>183</v>
      </c>
      <c r="D47" s="7">
        <f>$D$7</f>
        <v>432</v>
      </c>
      <c r="E47" s="7">
        <f>$D$8</f>
        <v>109</v>
      </c>
      <c r="F47" s="7">
        <f>$D$19</f>
        <v>138</v>
      </c>
      <c r="G47" s="7">
        <f>$D$20</f>
        <v>7</v>
      </c>
    </row>
    <row r="48" spans="1:8" ht="15" customHeight="1">
      <c r="A48" s="6" t="s">
        <v>113</v>
      </c>
      <c r="B48" s="7">
        <f>$E$5</f>
        <v>69</v>
      </c>
      <c r="C48" s="7">
        <f>$E$6</f>
        <v>10</v>
      </c>
      <c r="D48" s="7">
        <f>$E$7</f>
        <v>52</v>
      </c>
      <c r="E48" s="7">
        <f>$E$8</f>
        <v>9</v>
      </c>
      <c r="F48" s="7">
        <f>$E$19</f>
        <v>93</v>
      </c>
      <c r="G48" s="7">
        <f>$E$20</f>
        <v>27</v>
      </c>
    </row>
    <row r="49" spans="1:8" ht="15" customHeight="1">
      <c r="A49" s="6" t="s">
        <v>550</v>
      </c>
      <c r="B49" s="7">
        <f t="shared" ref="B49:G49" si="12">B47+B48</f>
        <v>689</v>
      </c>
      <c r="C49" s="7">
        <f t="shared" si="12"/>
        <v>193</v>
      </c>
      <c r="D49" s="7">
        <f t="shared" si="12"/>
        <v>484</v>
      </c>
      <c r="E49" s="7">
        <f t="shared" si="12"/>
        <v>118</v>
      </c>
      <c r="F49" s="7">
        <f t="shared" si="12"/>
        <v>231</v>
      </c>
      <c r="G49" s="7">
        <f t="shared" si="12"/>
        <v>34</v>
      </c>
    </row>
    <row r="52" spans="1:8" ht="15" customHeight="1">
      <c r="A52" s="5" t="s">
        <v>136</v>
      </c>
    </row>
    <row r="53" spans="1:8" ht="32.25" customHeight="1">
      <c r="A53" s="11" t="s">
        <v>137</v>
      </c>
      <c r="B53" s="11" t="s">
        <v>138</v>
      </c>
      <c r="C53" s="11" t="s">
        <v>139</v>
      </c>
      <c r="D53" s="11" t="s">
        <v>140</v>
      </c>
      <c r="E53" s="11" t="s">
        <v>141</v>
      </c>
      <c r="F53" s="11" t="s">
        <v>142</v>
      </c>
      <c r="G53" s="11" t="s">
        <v>143</v>
      </c>
      <c r="H53" s="11" t="s">
        <v>144</v>
      </c>
    </row>
    <row r="54" spans="1:8" ht="15" customHeight="1">
      <c r="A54" s="10">
        <v>45962</v>
      </c>
      <c r="B54" s="7">
        <v>0</v>
      </c>
      <c r="C54" s="7">
        <v>0</v>
      </c>
      <c r="D54" s="7">
        <v>4</v>
      </c>
      <c r="E54" s="7">
        <v>1</v>
      </c>
      <c r="F54" s="7">
        <v>0</v>
      </c>
      <c r="G54" s="7">
        <v>0</v>
      </c>
      <c r="H54" s="7">
        <f t="shared" ref="H54:H64" si="13">SUM(B54:G54)</f>
        <v>5</v>
      </c>
    </row>
    <row r="55" spans="1:8" ht="15" customHeight="1">
      <c r="A55" s="10">
        <v>45992</v>
      </c>
      <c r="B55" s="7">
        <v>11</v>
      </c>
      <c r="C55" s="7">
        <v>3</v>
      </c>
      <c r="D55" s="7">
        <v>13</v>
      </c>
      <c r="E55" s="7">
        <v>1</v>
      </c>
      <c r="F55" s="7">
        <v>30</v>
      </c>
      <c r="G55" s="7">
        <v>0</v>
      </c>
      <c r="H55" s="7">
        <f t="shared" si="13"/>
        <v>58</v>
      </c>
    </row>
    <row r="56" spans="1:8" ht="15" customHeight="1">
      <c r="A56" s="10">
        <v>46023</v>
      </c>
      <c r="B56" s="7">
        <v>26</v>
      </c>
      <c r="C56" s="7">
        <v>13</v>
      </c>
      <c r="D56" s="7">
        <v>41</v>
      </c>
      <c r="E56" s="7">
        <v>9</v>
      </c>
      <c r="F56" s="7">
        <v>26</v>
      </c>
      <c r="G56" s="7">
        <v>1</v>
      </c>
      <c r="H56" s="7">
        <f t="shared" si="13"/>
        <v>116</v>
      </c>
    </row>
    <row r="57" spans="1:8" ht="15" customHeight="1">
      <c r="A57" s="10">
        <v>46054</v>
      </c>
      <c r="B57" s="7">
        <v>22</v>
      </c>
      <c r="C57" s="7">
        <v>10</v>
      </c>
      <c r="D57" s="7">
        <v>33</v>
      </c>
      <c r="E57" s="7">
        <v>11</v>
      </c>
      <c r="F57" s="7">
        <v>24</v>
      </c>
      <c r="G57" s="7">
        <v>0</v>
      </c>
      <c r="H57" s="7">
        <f t="shared" si="13"/>
        <v>100</v>
      </c>
    </row>
    <row r="58" spans="1:8" ht="15" customHeight="1">
      <c r="A58" s="10">
        <v>46082</v>
      </c>
      <c r="B58" s="7">
        <v>39</v>
      </c>
      <c r="C58" s="7">
        <v>18</v>
      </c>
      <c r="D58" s="7">
        <v>42</v>
      </c>
      <c r="E58" s="7">
        <v>11</v>
      </c>
      <c r="F58" s="7">
        <v>31</v>
      </c>
      <c r="G58" s="7">
        <v>6</v>
      </c>
      <c r="H58" s="7">
        <f t="shared" si="13"/>
        <v>147</v>
      </c>
    </row>
    <row r="59" spans="1:8" ht="15" customHeight="1">
      <c r="A59" s="10">
        <v>46113</v>
      </c>
      <c r="B59" s="7">
        <v>60</v>
      </c>
      <c r="C59" s="7">
        <v>8</v>
      </c>
      <c r="D59" s="7">
        <v>102</v>
      </c>
      <c r="E59" s="7">
        <v>17</v>
      </c>
      <c r="F59" s="7">
        <v>25</v>
      </c>
      <c r="G59" s="7">
        <v>4</v>
      </c>
      <c r="H59" s="7">
        <f t="shared" si="13"/>
        <v>216</v>
      </c>
    </row>
    <row r="60" spans="1:8" ht="15" customHeight="1">
      <c r="A60" s="10">
        <v>46143</v>
      </c>
      <c r="B60" s="7">
        <v>53</v>
      </c>
      <c r="C60" s="7">
        <v>34</v>
      </c>
      <c r="D60" s="7">
        <v>69</v>
      </c>
      <c r="E60" s="7">
        <v>25</v>
      </c>
      <c r="F60" s="7">
        <v>49</v>
      </c>
      <c r="G60" s="7">
        <v>2</v>
      </c>
      <c r="H60" s="7">
        <f t="shared" si="13"/>
        <v>232</v>
      </c>
    </row>
    <row r="61" spans="1:8" ht="15" customHeight="1">
      <c r="A61" s="10">
        <v>46174</v>
      </c>
      <c r="B61" s="7">
        <v>121</v>
      </c>
      <c r="C61" s="7">
        <v>44</v>
      </c>
      <c r="D61" s="7">
        <v>67</v>
      </c>
      <c r="E61" s="7">
        <v>25</v>
      </c>
      <c r="F61" s="7">
        <v>24</v>
      </c>
      <c r="G61" s="7">
        <v>7</v>
      </c>
      <c r="H61" s="7">
        <f t="shared" si="13"/>
        <v>288</v>
      </c>
    </row>
    <row r="62" spans="1:8" ht="15" customHeight="1">
      <c r="A62" s="10">
        <v>46204</v>
      </c>
      <c r="B62" s="7">
        <v>143</v>
      </c>
      <c r="C62" s="7">
        <v>19</v>
      </c>
      <c r="D62" s="7">
        <v>74</v>
      </c>
      <c r="E62" s="7">
        <v>18</v>
      </c>
      <c r="F62" s="7">
        <v>13</v>
      </c>
      <c r="G62" s="7">
        <v>4</v>
      </c>
      <c r="H62" s="7">
        <f t="shared" si="13"/>
        <v>271</v>
      </c>
    </row>
    <row r="63" spans="1:8" ht="15" customHeight="1">
      <c r="A63" s="10">
        <v>46235</v>
      </c>
      <c r="B63" s="7">
        <v>170</v>
      </c>
      <c r="C63" s="7">
        <v>37</v>
      </c>
      <c r="D63" s="7">
        <v>52</v>
      </c>
      <c r="E63" s="7">
        <v>16</v>
      </c>
      <c r="F63" s="7">
        <v>9</v>
      </c>
      <c r="G63" s="7">
        <v>6</v>
      </c>
      <c r="H63" s="7">
        <f t="shared" si="13"/>
        <v>290</v>
      </c>
    </row>
    <row r="64" spans="1:8" ht="15" customHeight="1">
      <c r="A64" s="10">
        <v>46266</v>
      </c>
      <c r="B64" s="7">
        <v>65</v>
      </c>
      <c r="C64" s="7">
        <v>19</v>
      </c>
      <c r="D64" s="7">
        <v>27</v>
      </c>
      <c r="E64" s="7">
        <v>3</v>
      </c>
      <c r="F64" s="7">
        <v>6</v>
      </c>
      <c r="G64" s="7">
        <v>4</v>
      </c>
      <c r="H64" s="7">
        <f t="shared" si="13"/>
        <v>124</v>
      </c>
    </row>
    <row r="67" spans="1:11" ht="15" customHeight="1">
      <c r="A67" s="5" t="s">
        <v>145</v>
      </c>
    </row>
    <row r="68" spans="1:11" ht="30.75" customHeight="1">
      <c r="A68" s="11" t="s">
        <v>110</v>
      </c>
      <c r="B68" s="11" t="s">
        <v>146</v>
      </c>
      <c r="C68" s="11" t="s">
        <v>147</v>
      </c>
      <c r="D68" s="11" t="s">
        <v>148</v>
      </c>
      <c r="E68" s="11" t="s">
        <v>149</v>
      </c>
      <c r="F68" s="11" t="s">
        <v>150</v>
      </c>
      <c r="G68" s="11" t="s">
        <v>151</v>
      </c>
      <c r="H68" s="11" t="s">
        <v>152</v>
      </c>
      <c r="I68" s="11" t="s">
        <v>114</v>
      </c>
      <c r="J68" s="11" t="s">
        <v>153</v>
      </c>
      <c r="K68" s="11" t="s">
        <v>80</v>
      </c>
    </row>
    <row r="69" spans="1:11" ht="15" customHeight="1">
      <c r="A69" s="6" t="s">
        <v>57</v>
      </c>
      <c r="B69" s="7">
        <f>C5</f>
        <v>710</v>
      </c>
      <c r="C69" s="7">
        <v>53</v>
      </c>
      <c r="D69" s="7">
        <v>567</v>
      </c>
      <c r="E69" s="28">
        <v>2</v>
      </c>
      <c r="F69" s="7">
        <v>0</v>
      </c>
      <c r="G69" s="7">
        <v>3</v>
      </c>
      <c r="H69" s="28">
        <v>53</v>
      </c>
      <c r="I69" s="7">
        <f>F5</f>
        <v>21</v>
      </c>
      <c r="J69" s="7">
        <v>11</v>
      </c>
      <c r="K69" s="7">
        <f>D5</f>
        <v>620</v>
      </c>
    </row>
    <row r="70" spans="1:11" ht="15" customHeight="1">
      <c r="A70" s="6" t="s">
        <v>58</v>
      </c>
      <c r="B70" s="7">
        <f>C6</f>
        <v>205</v>
      </c>
      <c r="C70" s="7">
        <v>0</v>
      </c>
      <c r="D70" s="7">
        <v>183</v>
      </c>
      <c r="E70" s="28">
        <v>1</v>
      </c>
      <c r="F70" s="7">
        <v>0</v>
      </c>
      <c r="G70" s="7">
        <v>0</v>
      </c>
      <c r="H70" s="28">
        <v>7</v>
      </c>
      <c r="I70" s="7">
        <f>F6</f>
        <v>12</v>
      </c>
      <c r="J70" s="7">
        <v>2</v>
      </c>
      <c r="K70" s="7">
        <f>D6</f>
        <v>183</v>
      </c>
    </row>
    <row r="71" spans="1:11" ht="15" customHeight="1">
      <c r="A71" s="6" t="s">
        <v>16</v>
      </c>
      <c r="B71" s="7">
        <f>C7</f>
        <v>524</v>
      </c>
      <c r="C71" s="7">
        <v>115</v>
      </c>
      <c r="D71" s="7">
        <v>317</v>
      </c>
      <c r="E71" s="28">
        <v>4</v>
      </c>
      <c r="F71" s="7">
        <v>0</v>
      </c>
      <c r="G71" s="7">
        <v>0</v>
      </c>
      <c r="H71" s="28">
        <v>26</v>
      </c>
      <c r="I71" s="7">
        <f>F7</f>
        <v>40</v>
      </c>
      <c r="J71" s="7">
        <v>22</v>
      </c>
      <c r="K71" s="7">
        <f>D7</f>
        <v>432</v>
      </c>
    </row>
    <row r="72" spans="1:11" ht="15" customHeight="1">
      <c r="A72" s="6" t="s">
        <v>59</v>
      </c>
      <c r="B72" s="7">
        <f>C8</f>
        <v>137</v>
      </c>
      <c r="C72" s="7">
        <v>0</v>
      </c>
      <c r="D72" s="7">
        <v>0</v>
      </c>
      <c r="E72" s="7">
        <v>0</v>
      </c>
      <c r="F72" s="7">
        <v>0</v>
      </c>
      <c r="G72" s="7">
        <v>0</v>
      </c>
      <c r="H72" s="7">
        <v>5</v>
      </c>
      <c r="I72" s="7">
        <f>F8</f>
        <v>19</v>
      </c>
      <c r="J72" s="7">
        <v>4</v>
      </c>
      <c r="K72" s="7">
        <f>D8</f>
        <v>109</v>
      </c>
    </row>
    <row r="73" spans="1:11" ht="15" customHeight="1">
      <c r="A73" s="6" t="s">
        <v>60</v>
      </c>
      <c r="B73" s="7">
        <v>157</v>
      </c>
      <c r="C73" s="7">
        <v>0</v>
      </c>
      <c r="D73" s="7">
        <v>91</v>
      </c>
      <c r="E73" s="28">
        <v>6</v>
      </c>
      <c r="F73" s="7">
        <v>0</v>
      </c>
      <c r="G73" s="7">
        <v>0</v>
      </c>
      <c r="H73" s="28">
        <v>37</v>
      </c>
      <c r="I73" s="7">
        <v>18</v>
      </c>
      <c r="J73" s="7">
        <v>5</v>
      </c>
      <c r="K73" s="7">
        <v>91</v>
      </c>
    </row>
    <row r="74" spans="1:11" ht="15" customHeight="1">
      <c r="A74" s="6" t="s">
        <v>61</v>
      </c>
      <c r="B74" s="7">
        <v>110</v>
      </c>
      <c r="C74" s="7">
        <v>3</v>
      </c>
      <c r="D74" s="7">
        <v>80</v>
      </c>
      <c r="E74" s="28">
        <v>2</v>
      </c>
      <c r="F74" s="7">
        <v>0</v>
      </c>
      <c r="G74" s="7">
        <v>1</v>
      </c>
      <c r="H74" s="28">
        <v>14</v>
      </c>
      <c r="I74" s="7">
        <v>9</v>
      </c>
      <c r="J74" s="7">
        <v>1</v>
      </c>
      <c r="K74" s="7">
        <v>83</v>
      </c>
    </row>
    <row r="75" spans="1:11" ht="15" customHeight="1">
      <c r="A75" s="6" t="s">
        <v>62</v>
      </c>
      <c r="B75" s="7">
        <v>149</v>
      </c>
      <c r="C75" s="7">
        <v>23</v>
      </c>
      <c r="D75" s="7">
        <v>96</v>
      </c>
      <c r="E75" s="28">
        <v>2</v>
      </c>
      <c r="F75" s="7">
        <v>0</v>
      </c>
      <c r="G75" s="7">
        <v>0</v>
      </c>
      <c r="H75" s="28">
        <v>15</v>
      </c>
      <c r="I75" s="7">
        <v>11</v>
      </c>
      <c r="J75" s="7">
        <v>2</v>
      </c>
      <c r="K75" s="7">
        <v>119</v>
      </c>
    </row>
    <row r="76" spans="1:11" ht="15" customHeight="1">
      <c r="A76" s="6" t="s">
        <v>63</v>
      </c>
      <c r="B76" s="7">
        <v>86</v>
      </c>
      <c r="C76" s="7">
        <v>6</v>
      </c>
      <c r="D76" s="7">
        <v>68</v>
      </c>
      <c r="E76" s="28">
        <v>0</v>
      </c>
      <c r="F76" s="7">
        <v>0</v>
      </c>
      <c r="G76" s="7">
        <v>0</v>
      </c>
      <c r="H76" s="28">
        <v>4</v>
      </c>
      <c r="I76" s="7">
        <v>4</v>
      </c>
      <c r="J76" s="7">
        <v>4</v>
      </c>
      <c r="K76" s="7">
        <v>74</v>
      </c>
    </row>
    <row r="77" spans="1:11" ht="15" customHeight="1">
      <c r="A77" s="6" t="s">
        <v>64</v>
      </c>
      <c r="B77" s="7">
        <v>37</v>
      </c>
      <c r="C77" s="7">
        <v>0</v>
      </c>
      <c r="D77" s="7">
        <v>31</v>
      </c>
      <c r="E77" s="28">
        <v>1</v>
      </c>
      <c r="F77" s="7">
        <v>0</v>
      </c>
      <c r="G77" s="7">
        <v>0</v>
      </c>
      <c r="H77" s="28">
        <v>3</v>
      </c>
      <c r="I77" s="7">
        <v>2</v>
      </c>
      <c r="J77" s="7">
        <v>0</v>
      </c>
      <c r="K77" s="7">
        <v>31</v>
      </c>
    </row>
    <row r="78" spans="1:11" ht="15" customHeight="1">
      <c r="A78" s="6" t="s">
        <v>65</v>
      </c>
      <c r="B78" s="7">
        <v>16</v>
      </c>
      <c r="C78" s="7">
        <v>0</v>
      </c>
      <c r="D78" s="7">
        <v>14</v>
      </c>
      <c r="E78" s="28">
        <v>0</v>
      </c>
      <c r="F78" s="7">
        <v>0</v>
      </c>
      <c r="G78" s="7">
        <v>0</v>
      </c>
      <c r="H78" s="28">
        <v>2</v>
      </c>
      <c r="I78" s="7">
        <v>0</v>
      </c>
      <c r="J78" s="7">
        <v>0</v>
      </c>
      <c r="K78" s="7">
        <v>14</v>
      </c>
    </row>
    <row r="79" spans="1:11" ht="15" customHeight="1">
      <c r="A79" s="6" t="s">
        <v>66</v>
      </c>
      <c r="B79" s="7">
        <v>29</v>
      </c>
      <c r="C79" s="7">
        <v>2</v>
      </c>
      <c r="D79" s="7">
        <v>19</v>
      </c>
      <c r="E79" s="28">
        <v>1</v>
      </c>
      <c r="F79" s="7">
        <v>0</v>
      </c>
      <c r="G79" s="7">
        <v>0</v>
      </c>
      <c r="H79" s="28">
        <v>7</v>
      </c>
      <c r="I79" s="7">
        <v>0</v>
      </c>
      <c r="J79" s="7">
        <v>0</v>
      </c>
      <c r="K79" s="7">
        <v>21</v>
      </c>
    </row>
    <row r="80" spans="1:11" ht="15" customHeight="1">
      <c r="A80" s="6" t="s">
        <v>67</v>
      </c>
      <c r="B80" s="7">
        <v>32</v>
      </c>
      <c r="C80" s="7">
        <v>0</v>
      </c>
      <c r="D80" s="7">
        <v>19</v>
      </c>
      <c r="E80" s="28">
        <v>1</v>
      </c>
      <c r="F80" s="7">
        <v>4</v>
      </c>
      <c r="G80" s="7">
        <v>0</v>
      </c>
      <c r="H80" s="28">
        <v>6</v>
      </c>
      <c r="I80" s="7">
        <v>1</v>
      </c>
      <c r="J80" s="7">
        <v>1</v>
      </c>
      <c r="K80" s="7">
        <v>19</v>
      </c>
    </row>
    <row r="81" spans="1:11" ht="15" customHeight="1">
      <c r="A81" s="6" t="s">
        <v>68</v>
      </c>
      <c r="B81" s="7">
        <v>9</v>
      </c>
      <c r="C81" s="7">
        <v>0</v>
      </c>
      <c r="D81" s="7">
        <v>5</v>
      </c>
      <c r="E81" s="7">
        <v>0</v>
      </c>
      <c r="F81" s="7">
        <v>0</v>
      </c>
      <c r="G81" s="7">
        <v>0</v>
      </c>
      <c r="H81" s="7">
        <v>1</v>
      </c>
      <c r="I81" s="7">
        <v>3</v>
      </c>
      <c r="J81" s="7">
        <v>0</v>
      </c>
      <c r="K81" s="7">
        <v>5</v>
      </c>
    </row>
    <row r="82" spans="1:11" ht="15" customHeight="1">
      <c r="A82" s="6" t="s">
        <v>69</v>
      </c>
      <c r="B82" s="7">
        <v>14</v>
      </c>
      <c r="C82" s="7">
        <v>0</v>
      </c>
      <c r="D82" s="7">
        <v>4</v>
      </c>
      <c r="E82" s="7">
        <v>0</v>
      </c>
      <c r="F82" s="7">
        <v>8</v>
      </c>
      <c r="G82" s="7">
        <v>0</v>
      </c>
      <c r="H82" s="7">
        <v>0</v>
      </c>
      <c r="I82" s="7">
        <v>0</v>
      </c>
      <c r="J82" s="7">
        <v>2</v>
      </c>
      <c r="K82" s="7">
        <v>4</v>
      </c>
    </row>
    <row r="83" spans="1:11" ht="15" customHeight="1">
      <c r="A83" s="6" t="s">
        <v>70</v>
      </c>
      <c r="B83" s="7">
        <f t="shared" ref="B83:B92" si="14">C9</f>
        <v>3</v>
      </c>
      <c r="C83" s="7">
        <v>0</v>
      </c>
      <c r="D83" s="7">
        <v>0</v>
      </c>
      <c r="E83" s="7">
        <v>0</v>
      </c>
      <c r="F83" s="7">
        <v>0</v>
      </c>
      <c r="G83" s="7">
        <v>0</v>
      </c>
      <c r="H83" s="7">
        <v>0</v>
      </c>
      <c r="I83" s="7">
        <f t="shared" ref="I83:I92" si="15">F9</f>
        <v>0</v>
      </c>
      <c r="J83" s="7">
        <f>E9</f>
        <v>2</v>
      </c>
      <c r="K83" s="7">
        <f t="shared" ref="K83:K92" si="16">D9</f>
        <v>1</v>
      </c>
    </row>
    <row r="84" spans="1:11" ht="15" customHeight="1">
      <c r="A84" s="6" t="s">
        <v>71</v>
      </c>
      <c r="B84" s="7">
        <f t="shared" si="14"/>
        <v>6</v>
      </c>
      <c r="C84" s="7">
        <v>0</v>
      </c>
      <c r="D84" s="7">
        <v>0</v>
      </c>
      <c r="E84" s="7">
        <v>0</v>
      </c>
      <c r="F84" s="7">
        <v>0</v>
      </c>
      <c r="G84" s="7">
        <v>0</v>
      </c>
      <c r="H84" s="7">
        <v>0</v>
      </c>
      <c r="I84" s="7">
        <f t="shared" si="15"/>
        <v>0</v>
      </c>
      <c r="J84" s="7">
        <f>E10</f>
        <v>6</v>
      </c>
      <c r="K84" s="7">
        <f t="shared" si="16"/>
        <v>0</v>
      </c>
    </row>
    <row r="85" spans="1:11" ht="15" customHeight="1">
      <c r="A85" s="6" t="s">
        <v>72</v>
      </c>
      <c r="B85" s="7">
        <f t="shared" si="14"/>
        <v>37</v>
      </c>
      <c r="C85" s="7">
        <v>0</v>
      </c>
      <c r="D85" s="7">
        <v>0</v>
      </c>
      <c r="E85" s="7">
        <v>0</v>
      </c>
      <c r="F85" s="7">
        <v>0</v>
      </c>
      <c r="G85" s="7">
        <v>0</v>
      </c>
      <c r="H85" s="7">
        <v>0</v>
      </c>
      <c r="I85" s="7">
        <f t="shared" si="15"/>
        <v>0</v>
      </c>
      <c r="J85" s="7">
        <f>E11</f>
        <v>37</v>
      </c>
      <c r="K85" s="7">
        <f t="shared" si="16"/>
        <v>0</v>
      </c>
    </row>
    <row r="86" spans="1:11" ht="15" customHeight="1">
      <c r="A86" s="6" t="s">
        <v>73</v>
      </c>
      <c r="B86" s="7">
        <f t="shared" si="14"/>
        <v>28</v>
      </c>
      <c r="C86" s="7">
        <v>0</v>
      </c>
      <c r="D86" s="7">
        <v>0</v>
      </c>
      <c r="E86" s="7">
        <v>0</v>
      </c>
      <c r="F86" s="7">
        <v>0</v>
      </c>
      <c r="G86" s="7">
        <v>0</v>
      </c>
      <c r="H86" s="7">
        <v>0</v>
      </c>
      <c r="I86" s="7">
        <f t="shared" si="15"/>
        <v>1</v>
      </c>
      <c r="J86" s="7">
        <f>E12</f>
        <v>7</v>
      </c>
      <c r="K86" s="7">
        <f t="shared" si="16"/>
        <v>20</v>
      </c>
    </row>
    <row r="87" spans="1:11" ht="15" customHeight="1">
      <c r="A87" s="6" t="s">
        <v>74</v>
      </c>
      <c r="B87" s="7">
        <f t="shared" si="14"/>
        <v>163</v>
      </c>
      <c r="C87" s="7">
        <v>0</v>
      </c>
      <c r="D87" s="7">
        <v>0</v>
      </c>
      <c r="E87" s="7">
        <v>0</v>
      </c>
      <c r="F87" s="7">
        <v>0</v>
      </c>
      <c r="G87" s="7">
        <v>0</v>
      </c>
      <c r="H87" s="7">
        <v>0</v>
      </c>
      <c r="I87" s="7">
        <f t="shared" si="15"/>
        <v>5</v>
      </c>
      <c r="J87" s="7">
        <v>42</v>
      </c>
      <c r="K87" s="7">
        <f t="shared" si="16"/>
        <v>117</v>
      </c>
    </row>
    <row r="88" spans="1:11" ht="15" customHeight="1">
      <c r="A88" s="6" t="s">
        <v>30</v>
      </c>
      <c r="B88" s="7">
        <f t="shared" si="14"/>
        <v>5</v>
      </c>
      <c r="C88" s="7">
        <v>0</v>
      </c>
      <c r="D88" s="7">
        <v>0</v>
      </c>
      <c r="E88" s="7">
        <v>0</v>
      </c>
      <c r="F88" s="7">
        <v>0</v>
      </c>
      <c r="G88" s="7">
        <v>0</v>
      </c>
      <c r="H88" s="7">
        <v>0</v>
      </c>
      <c r="I88" s="7">
        <f t="shared" si="15"/>
        <v>0</v>
      </c>
      <c r="J88" s="7">
        <f>E14</f>
        <v>5</v>
      </c>
      <c r="K88" s="7">
        <f t="shared" si="16"/>
        <v>0</v>
      </c>
    </row>
    <row r="89" spans="1:11" ht="15" customHeight="1">
      <c r="A89" s="6" t="s">
        <v>31</v>
      </c>
      <c r="B89" s="7">
        <f t="shared" si="14"/>
        <v>4</v>
      </c>
      <c r="C89" s="7">
        <v>0</v>
      </c>
      <c r="D89" s="7">
        <v>0</v>
      </c>
      <c r="E89" s="7">
        <v>0</v>
      </c>
      <c r="F89" s="7">
        <v>0</v>
      </c>
      <c r="G89" s="7">
        <v>0</v>
      </c>
      <c r="H89" s="7">
        <v>0</v>
      </c>
      <c r="I89" s="7">
        <f t="shared" si="15"/>
        <v>0</v>
      </c>
      <c r="J89" s="7">
        <f>E15</f>
        <v>4</v>
      </c>
      <c r="K89" s="7">
        <f t="shared" si="16"/>
        <v>0</v>
      </c>
    </row>
    <row r="90" spans="1:11" ht="15" customHeight="1">
      <c r="A90" s="6" t="s">
        <v>32</v>
      </c>
      <c r="B90" s="7">
        <f t="shared" si="14"/>
        <v>12</v>
      </c>
      <c r="C90" s="7">
        <v>0</v>
      </c>
      <c r="D90" s="7">
        <v>0</v>
      </c>
      <c r="E90" s="7">
        <v>0</v>
      </c>
      <c r="F90" s="7">
        <v>0</v>
      </c>
      <c r="G90" s="7">
        <v>0</v>
      </c>
      <c r="H90" s="7">
        <v>0</v>
      </c>
      <c r="I90" s="7">
        <f t="shared" si="15"/>
        <v>0</v>
      </c>
      <c r="J90" s="7">
        <f>E16</f>
        <v>10</v>
      </c>
      <c r="K90" s="7">
        <f t="shared" si="16"/>
        <v>2</v>
      </c>
    </row>
    <row r="91" spans="1:11" ht="15" customHeight="1">
      <c r="A91" s="6" t="s">
        <v>33</v>
      </c>
      <c r="B91" s="7">
        <f t="shared" si="14"/>
        <v>4</v>
      </c>
      <c r="C91" s="7">
        <v>0</v>
      </c>
      <c r="D91" s="7">
        <v>0</v>
      </c>
      <c r="E91" s="7">
        <v>0</v>
      </c>
      <c r="F91" s="7">
        <v>0</v>
      </c>
      <c r="G91" s="7">
        <v>0</v>
      </c>
      <c r="H91" s="7">
        <v>0</v>
      </c>
      <c r="I91" s="7">
        <f t="shared" si="15"/>
        <v>0</v>
      </c>
      <c r="J91" s="7">
        <f>E17</f>
        <v>1</v>
      </c>
      <c r="K91" s="7">
        <f t="shared" si="16"/>
        <v>3</v>
      </c>
    </row>
    <row r="92" spans="1:11" ht="15" customHeight="1">
      <c r="A92" s="6" t="s">
        <v>34</v>
      </c>
      <c r="B92" s="7">
        <f t="shared" si="14"/>
        <v>9</v>
      </c>
      <c r="C92" s="7">
        <v>0</v>
      </c>
      <c r="D92" s="7">
        <v>0</v>
      </c>
      <c r="E92" s="7">
        <v>0</v>
      </c>
      <c r="F92" s="7">
        <v>0</v>
      </c>
      <c r="G92" s="7">
        <v>0</v>
      </c>
      <c r="H92" s="7">
        <v>0</v>
      </c>
      <c r="I92" s="7">
        <f t="shared" si="15"/>
        <v>0</v>
      </c>
      <c r="J92" s="7">
        <f>E18</f>
        <v>7</v>
      </c>
      <c r="K92" s="7">
        <f t="shared" si="16"/>
        <v>2</v>
      </c>
    </row>
    <row r="93" spans="1:11" ht="15" customHeight="1">
      <c r="A93" s="8" t="s">
        <v>75</v>
      </c>
      <c r="B93" s="9">
        <f t="shared" ref="B93:K93" si="17">SUM(B69:B92)</f>
        <v>2486</v>
      </c>
      <c r="C93" s="9">
        <f t="shared" si="17"/>
        <v>202</v>
      </c>
      <c r="D93" s="9">
        <f t="shared" si="17"/>
        <v>1494</v>
      </c>
      <c r="E93" s="9">
        <f t="shared" si="17"/>
        <v>20</v>
      </c>
      <c r="F93" s="9">
        <f t="shared" si="17"/>
        <v>12</v>
      </c>
      <c r="G93" s="9">
        <f t="shared" si="17"/>
        <v>4</v>
      </c>
      <c r="H93" s="9">
        <f t="shared" si="17"/>
        <v>180</v>
      </c>
      <c r="I93" s="9">
        <f t="shared" si="17"/>
        <v>146</v>
      </c>
      <c r="J93" s="9">
        <f t="shared" si="17"/>
        <v>175</v>
      </c>
      <c r="K93" s="9">
        <f t="shared" si="17"/>
        <v>1950</v>
      </c>
    </row>
    <row r="96" spans="1:11" ht="15" customHeight="1">
      <c r="A96" s="5" t="s">
        <v>154</v>
      </c>
    </row>
    <row r="97" spans="1:5" ht="23.25" customHeight="1">
      <c r="A97" s="11" t="s">
        <v>135</v>
      </c>
      <c r="B97" s="11" t="s">
        <v>155</v>
      </c>
    </row>
    <row r="98" spans="1:5" ht="15" customHeight="1">
      <c r="A98" s="6" t="s">
        <v>156</v>
      </c>
      <c r="B98" s="7">
        <f>$C$93</f>
        <v>202</v>
      </c>
    </row>
    <row r="99" spans="1:5" ht="15" customHeight="1">
      <c r="A99" s="6" t="s">
        <v>157</v>
      </c>
      <c r="B99" s="7">
        <f>$D$93</f>
        <v>1494</v>
      </c>
    </row>
    <row r="100" spans="1:5" ht="15" customHeight="1">
      <c r="A100" s="6" t="s">
        <v>158</v>
      </c>
      <c r="B100" s="7">
        <f>$E$93</f>
        <v>20</v>
      </c>
    </row>
    <row r="101" spans="1:5" ht="15" customHeight="1">
      <c r="A101" s="6" t="s">
        <v>159</v>
      </c>
      <c r="B101" s="7">
        <f>$F$93</f>
        <v>12</v>
      </c>
    </row>
    <row r="102" spans="1:5" ht="15" customHeight="1">
      <c r="A102" s="6" t="s">
        <v>151</v>
      </c>
      <c r="B102" s="7">
        <f>$G$93</f>
        <v>4</v>
      </c>
    </row>
    <row r="103" spans="1:5" ht="15" customHeight="1">
      <c r="A103" s="6" t="s">
        <v>152</v>
      </c>
      <c r="B103" s="7">
        <f>$H$93</f>
        <v>180</v>
      </c>
    </row>
    <row r="104" spans="1:5" ht="15" customHeight="1">
      <c r="A104" s="6" t="s">
        <v>114</v>
      </c>
      <c r="B104" s="7">
        <f>$I$93</f>
        <v>146</v>
      </c>
    </row>
    <row r="105" spans="1:5" ht="15" customHeight="1">
      <c r="A105" s="6" t="s">
        <v>160</v>
      </c>
      <c r="B105" s="7">
        <f>$J$93</f>
        <v>175</v>
      </c>
    </row>
    <row r="108" spans="1:5" ht="15" customHeight="1">
      <c r="A108" s="5" t="s">
        <v>161</v>
      </c>
    </row>
    <row r="109" spans="1:5" ht="38.25" customHeight="1">
      <c r="A109" s="11" t="s">
        <v>162</v>
      </c>
      <c r="B109" s="11" t="s">
        <v>138</v>
      </c>
      <c r="C109" s="11" t="s">
        <v>139</v>
      </c>
      <c r="D109" s="11" t="s">
        <v>140</v>
      </c>
      <c r="E109" s="11" t="s">
        <v>141</v>
      </c>
    </row>
    <row r="110" spans="1:5" ht="15" customHeight="1">
      <c r="A110" s="6" t="s">
        <v>163</v>
      </c>
      <c r="B110" s="28">
        <v>260</v>
      </c>
      <c r="C110" s="28">
        <v>90</v>
      </c>
      <c r="D110" s="7">
        <v>27</v>
      </c>
      <c r="E110" s="7">
        <v>23</v>
      </c>
    </row>
    <row r="111" spans="1:5" ht="15" customHeight="1">
      <c r="A111" s="6" t="s">
        <v>164</v>
      </c>
      <c r="B111" s="28">
        <v>357</v>
      </c>
      <c r="C111" s="28">
        <v>92</v>
      </c>
      <c r="D111" s="7">
        <v>69</v>
      </c>
      <c r="E111" s="7">
        <v>21</v>
      </c>
    </row>
    <row r="112" spans="1:5" ht="15" customHeight="1">
      <c r="A112" s="6" t="s">
        <v>165</v>
      </c>
      <c r="B112" s="28">
        <v>3</v>
      </c>
      <c r="C112" s="28">
        <v>1</v>
      </c>
      <c r="D112" s="7">
        <v>203</v>
      </c>
      <c r="E112" s="7">
        <v>29</v>
      </c>
    </row>
    <row r="113" spans="1:6" ht="15" customHeight="1">
      <c r="A113" s="6" t="s">
        <v>166</v>
      </c>
      <c r="B113" s="28">
        <v>0</v>
      </c>
      <c r="C113" s="28">
        <v>0</v>
      </c>
      <c r="D113" s="28">
        <v>132</v>
      </c>
      <c r="E113" s="28">
        <v>33</v>
      </c>
    </row>
    <row r="114" spans="1:6" ht="15" customHeight="1">
      <c r="A114" s="6" t="s">
        <v>167</v>
      </c>
      <c r="B114" s="7">
        <v>0</v>
      </c>
      <c r="C114" s="7">
        <v>0</v>
      </c>
      <c r="D114" s="28">
        <v>1</v>
      </c>
      <c r="E114" s="28">
        <v>1</v>
      </c>
    </row>
    <row r="115" spans="1:6" ht="15" customHeight="1">
      <c r="A115" s="6" t="s">
        <v>168</v>
      </c>
      <c r="B115" s="7">
        <v>0</v>
      </c>
      <c r="C115" s="7">
        <v>0</v>
      </c>
      <c r="D115" s="7">
        <v>0</v>
      </c>
      <c r="E115" s="28">
        <v>0</v>
      </c>
    </row>
    <row r="118" spans="1:6" ht="15" customHeight="1">
      <c r="A118" s="5" t="s">
        <v>169</v>
      </c>
    </row>
    <row r="119" spans="1:6" ht="35.25" customHeight="1">
      <c r="A119" s="11" t="s">
        <v>170</v>
      </c>
      <c r="B119" s="11" t="s">
        <v>138</v>
      </c>
      <c r="C119" s="11" t="s">
        <v>139</v>
      </c>
      <c r="D119" s="11" t="s">
        <v>140</v>
      </c>
      <c r="E119" s="11" t="s">
        <v>141</v>
      </c>
      <c r="F119" s="11" t="s">
        <v>144</v>
      </c>
    </row>
    <row r="120" spans="1:6" ht="15" customHeight="1">
      <c r="A120" s="6" t="s">
        <v>171</v>
      </c>
      <c r="B120" s="7">
        <v>323</v>
      </c>
      <c r="C120" s="7">
        <v>46</v>
      </c>
      <c r="D120" s="7">
        <v>390</v>
      </c>
      <c r="E120" s="7">
        <v>62</v>
      </c>
      <c r="F120" s="7">
        <f t="shared" ref="F120:F129" si="18">SUM(B120:E120)</f>
        <v>821</v>
      </c>
    </row>
    <row r="121" spans="1:6" ht="15" customHeight="1">
      <c r="A121" s="6" t="s">
        <v>172</v>
      </c>
      <c r="B121" s="7">
        <v>254</v>
      </c>
      <c r="C121" s="7">
        <v>0</v>
      </c>
      <c r="D121" s="7">
        <v>3</v>
      </c>
      <c r="E121" s="7">
        <v>0</v>
      </c>
      <c r="F121" s="7">
        <f t="shared" si="18"/>
        <v>257</v>
      </c>
    </row>
    <row r="122" spans="1:6" ht="15" customHeight="1">
      <c r="A122" s="6" t="s">
        <v>173</v>
      </c>
      <c r="B122" s="7">
        <v>105</v>
      </c>
      <c r="C122" s="7">
        <v>108</v>
      </c>
      <c r="D122" s="7">
        <v>12</v>
      </c>
      <c r="E122" s="7">
        <v>30</v>
      </c>
      <c r="F122" s="7">
        <f t="shared" si="18"/>
        <v>255</v>
      </c>
    </row>
    <row r="123" spans="1:6" ht="15" customHeight="1">
      <c r="A123" s="6" t="s">
        <v>174</v>
      </c>
      <c r="B123" s="7">
        <v>0</v>
      </c>
      <c r="C123" s="7">
        <v>29</v>
      </c>
      <c r="D123" s="7">
        <v>27</v>
      </c>
      <c r="E123" s="7">
        <v>10</v>
      </c>
      <c r="F123" s="7">
        <f t="shared" si="18"/>
        <v>66</v>
      </c>
    </row>
    <row r="124" spans="1:6" ht="15" customHeight="1">
      <c r="A124" s="6" t="s">
        <v>175</v>
      </c>
      <c r="B124" s="7">
        <v>0</v>
      </c>
      <c r="C124" s="7">
        <v>0</v>
      </c>
      <c r="D124" s="7">
        <v>34</v>
      </c>
      <c r="E124" s="7">
        <v>0</v>
      </c>
      <c r="F124" s="7">
        <f t="shared" si="18"/>
        <v>34</v>
      </c>
    </row>
    <row r="125" spans="1:6" ht="15" customHeight="1">
      <c r="A125" s="6" t="s">
        <v>176</v>
      </c>
      <c r="B125" s="7">
        <v>18</v>
      </c>
      <c r="C125" s="7">
        <v>12</v>
      </c>
      <c r="D125" s="7">
        <v>0</v>
      </c>
      <c r="E125" s="7">
        <v>0</v>
      </c>
      <c r="F125" s="7">
        <f t="shared" si="18"/>
        <v>30</v>
      </c>
    </row>
    <row r="126" spans="1:6" ht="15" customHeight="1">
      <c r="A126" s="6" t="s">
        <v>177</v>
      </c>
      <c r="B126" s="7">
        <v>2</v>
      </c>
      <c r="C126" s="7">
        <v>8</v>
      </c>
      <c r="D126" s="7">
        <v>5</v>
      </c>
      <c r="E126" s="7">
        <v>0</v>
      </c>
      <c r="F126" s="7">
        <f t="shared" si="18"/>
        <v>15</v>
      </c>
    </row>
    <row r="127" spans="1:6" ht="15" customHeight="1">
      <c r="A127" s="6" t="s">
        <v>178</v>
      </c>
      <c r="B127" s="7">
        <v>0</v>
      </c>
      <c r="C127" s="7">
        <v>0</v>
      </c>
      <c r="D127" s="7">
        <v>0</v>
      </c>
      <c r="E127" s="7">
        <v>15</v>
      </c>
      <c r="F127" s="7">
        <f t="shared" si="18"/>
        <v>15</v>
      </c>
    </row>
    <row r="128" spans="1:6" ht="15" customHeight="1">
      <c r="A128" s="6" t="s">
        <v>179</v>
      </c>
      <c r="B128" s="7">
        <v>0</v>
      </c>
      <c r="C128" s="7">
        <v>0</v>
      </c>
      <c r="D128" s="7">
        <v>8</v>
      </c>
      <c r="E128" s="7">
        <v>6</v>
      </c>
      <c r="F128" s="7">
        <f t="shared" si="18"/>
        <v>14</v>
      </c>
    </row>
    <row r="129" spans="1:6" ht="15" customHeight="1">
      <c r="A129" s="6" t="s">
        <v>180</v>
      </c>
      <c r="B129" s="7">
        <v>0</v>
      </c>
      <c r="C129" s="7">
        <v>0</v>
      </c>
      <c r="D129" s="7">
        <v>10</v>
      </c>
      <c r="E129" s="7">
        <v>0</v>
      </c>
      <c r="F129" s="7">
        <f t="shared" si="18"/>
        <v>10</v>
      </c>
    </row>
    <row r="132" spans="1:6" ht="15" customHeight="1">
      <c r="A132" s="5" t="s">
        <v>181</v>
      </c>
    </row>
    <row r="133" spans="1:6" ht="35.25" customHeight="1">
      <c r="A133" s="11" t="s">
        <v>182</v>
      </c>
      <c r="B133" s="11" t="s">
        <v>155</v>
      </c>
    </row>
    <row r="134" spans="1:6" ht="15" customHeight="1">
      <c r="A134" s="6" t="s">
        <v>80</v>
      </c>
      <c r="B134" s="7">
        <f>$K$93</f>
        <v>1950</v>
      </c>
    </row>
    <row r="135" spans="1:6" ht="15" customHeight="1">
      <c r="A135" s="6" t="s">
        <v>183</v>
      </c>
      <c r="B135" s="7">
        <f>$B$93-$K$93-$I$93</f>
        <v>390</v>
      </c>
    </row>
    <row r="136" spans="1:6" ht="15" customHeight="1">
      <c r="A136" s="6" t="s">
        <v>114</v>
      </c>
      <c r="B136" s="7">
        <f>$I$93</f>
        <v>146</v>
      </c>
    </row>
    <row r="139" spans="1:6" ht="15" customHeight="1">
      <c r="A139" s="5" t="s">
        <v>184</v>
      </c>
    </row>
    <row r="140" spans="1:6" ht="32.25" customHeight="1">
      <c r="A140" s="11" t="s">
        <v>185</v>
      </c>
      <c r="B140" s="11" t="s">
        <v>186</v>
      </c>
    </row>
    <row r="141" spans="1:6" ht="15" customHeight="1">
      <c r="A141" s="6" t="s">
        <v>187</v>
      </c>
      <c r="B141" s="7">
        <f>$B$93</f>
        <v>2486</v>
      </c>
    </row>
    <row r="142" spans="1:6" ht="15" customHeight="1">
      <c r="A142" s="6" t="s">
        <v>188</v>
      </c>
      <c r="B142" s="7">
        <f>$C$21</f>
        <v>1576</v>
      </c>
    </row>
    <row r="143" spans="1:6" ht="15" customHeight="1">
      <c r="A143" s="6" t="s">
        <v>189</v>
      </c>
      <c r="B143" s="7">
        <f>$C$19</f>
        <v>237</v>
      </c>
    </row>
    <row r="144" spans="1:6" ht="15" customHeight="1">
      <c r="A144" s="6" t="s">
        <v>190</v>
      </c>
      <c r="B144" s="7">
        <f>$C$20</f>
        <v>34</v>
      </c>
    </row>
    <row r="145" spans="1:8" ht="15" customHeight="1">
      <c r="A145" s="6" t="s">
        <v>191</v>
      </c>
      <c r="B145" s="7">
        <f>$K$93</f>
        <v>1950</v>
      </c>
    </row>
    <row r="146" spans="1:8" ht="15" customHeight="1">
      <c r="A146" s="6" t="s">
        <v>192</v>
      </c>
      <c r="B146" s="7">
        <f>$B$93-$K$93-$I$93</f>
        <v>390</v>
      </c>
    </row>
    <row r="147" spans="1:8" ht="15" customHeight="1">
      <c r="A147" s="6" t="s">
        <v>193</v>
      </c>
      <c r="B147" s="12">
        <f>IFERROR($H$22/$G$22,"")</f>
        <v>0.98172514619883045</v>
      </c>
    </row>
    <row r="148" spans="1:8" ht="15" customHeight="1">
      <c r="A148" s="6" t="s">
        <v>194</v>
      </c>
      <c r="B148" s="7">
        <f>$G$22</f>
        <v>1368</v>
      </c>
    </row>
    <row r="149" spans="1:8" ht="15" customHeight="1">
      <c r="A149" s="6" t="s">
        <v>195</v>
      </c>
      <c r="B149" s="7">
        <f>$J$22</f>
        <v>121</v>
      </c>
    </row>
    <row r="150" spans="1:8" ht="15" customHeight="1">
      <c r="A150" s="6" t="s">
        <v>196</v>
      </c>
      <c r="B150" s="7">
        <f>$E$20</f>
        <v>27</v>
      </c>
    </row>
    <row r="151" spans="1:8" ht="15" customHeight="1">
      <c r="A151" s="6" t="s">
        <v>197</v>
      </c>
      <c r="B151" s="7">
        <f>$E$19</f>
        <v>93</v>
      </c>
    </row>
    <row r="152" spans="1:8" ht="15" customHeight="1">
      <c r="A152" s="6" t="s">
        <v>198</v>
      </c>
      <c r="B152" s="7">
        <f>IFERROR(($C$93+$D$93)/($C$93+$D$93+$E$93+$G$93),"")</f>
        <v>0.98604651162790702</v>
      </c>
    </row>
    <row r="153" spans="1:8" ht="15" customHeight="1">
      <c r="A153" s="6" t="s">
        <v>199</v>
      </c>
      <c r="B153" s="29">
        <v>1.6</v>
      </c>
    </row>
    <row r="154" spans="1:8" ht="15" customHeight="1">
      <c r="A154" s="6" t="s">
        <v>200</v>
      </c>
      <c r="B154" s="29">
        <v>1.63</v>
      </c>
    </row>
    <row r="155" spans="1:8" ht="15" customHeight="1">
      <c r="A155" s="6" t="s">
        <v>201</v>
      </c>
      <c r="B155" s="29">
        <v>6.01</v>
      </c>
    </row>
    <row r="156" spans="1:8" ht="15" customHeight="1">
      <c r="A156" s="6" t="s">
        <v>202</v>
      </c>
      <c r="B156" s="29">
        <v>5.38</v>
      </c>
    </row>
    <row r="159" spans="1:8" ht="15.75" customHeight="1">
      <c r="A159" s="5" t="s">
        <v>203</v>
      </c>
    </row>
    <row r="160" spans="1:8" ht="24">
      <c r="A160" s="11" t="s">
        <v>110</v>
      </c>
      <c r="B160" s="11" t="s">
        <v>204</v>
      </c>
      <c r="C160" s="11" t="s">
        <v>80</v>
      </c>
      <c r="D160" s="11" t="s">
        <v>205</v>
      </c>
      <c r="E160" s="11" t="s">
        <v>206</v>
      </c>
      <c r="F160" s="11" t="s">
        <v>118</v>
      </c>
      <c r="G160" s="11" t="s">
        <v>207</v>
      </c>
      <c r="H160" s="11" t="s">
        <v>551</v>
      </c>
    </row>
    <row r="161" spans="1:12">
      <c r="A161" s="6" t="s">
        <v>57</v>
      </c>
      <c r="B161" s="7">
        <f>B5</f>
        <v>2</v>
      </c>
      <c r="C161" s="7">
        <f>D5</f>
        <v>620</v>
      </c>
      <c r="D161" s="28">
        <f>H5</f>
        <v>617</v>
      </c>
      <c r="E161" s="28">
        <f>I5</f>
        <v>3</v>
      </c>
      <c r="F161" s="7">
        <f t="shared" ref="F161:F171" si="19">C161-D161-E161</f>
        <v>0</v>
      </c>
      <c r="G161" s="12">
        <f t="shared" ref="G161:G172" si="20">IFERROR(D161/(D161+E161),"")</f>
        <v>0.99516129032258061</v>
      </c>
      <c r="H161" s="7">
        <f>E5</f>
        <v>69</v>
      </c>
    </row>
    <row r="162" spans="1:12">
      <c r="A162" s="6" t="s">
        <v>58</v>
      </c>
      <c r="B162" s="7">
        <v>3</v>
      </c>
      <c r="C162" s="7">
        <v>183</v>
      </c>
      <c r="D162" s="28">
        <v>180</v>
      </c>
      <c r="E162" s="28">
        <v>3</v>
      </c>
      <c r="F162" s="7">
        <f t="shared" si="19"/>
        <v>0</v>
      </c>
      <c r="G162" s="12">
        <f t="shared" si="20"/>
        <v>0.98360655737704916</v>
      </c>
      <c r="H162" s="7">
        <f>E6</f>
        <v>10</v>
      </c>
    </row>
    <row r="163" spans="1:12">
      <c r="A163" s="6" t="s">
        <v>59</v>
      </c>
      <c r="B163" s="7">
        <f>B8</f>
        <v>14</v>
      </c>
      <c r="C163" s="7">
        <f>D8</f>
        <v>109</v>
      </c>
      <c r="D163" s="28">
        <f>H8</f>
        <v>106</v>
      </c>
      <c r="E163" s="28">
        <f>I8</f>
        <v>1</v>
      </c>
      <c r="F163" s="7">
        <f t="shared" si="19"/>
        <v>2</v>
      </c>
      <c r="G163" s="12">
        <f t="shared" si="20"/>
        <v>0.99065420560747663</v>
      </c>
      <c r="H163" s="7">
        <f>E8</f>
        <v>9</v>
      </c>
    </row>
    <row r="164" spans="1:12">
      <c r="A164" s="6" t="s">
        <v>99</v>
      </c>
      <c r="B164" s="7">
        <v>14</v>
      </c>
      <c r="C164" s="7">
        <v>14</v>
      </c>
      <c r="D164" s="7">
        <v>14</v>
      </c>
      <c r="E164" s="7">
        <v>0</v>
      </c>
      <c r="F164" s="7">
        <f t="shared" si="19"/>
        <v>0</v>
      </c>
      <c r="G164" s="12">
        <f t="shared" si="20"/>
        <v>1</v>
      </c>
      <c r="H164" s="28">
        <v>0</v>
      </c>
    </row>
    <row r="165" spans="1:12">
      <c r="A165" s="6" t="s">
        <v>100</v>
      </c>
      <c r="B165" s="7">
        <v>14</v>
      </c>
      <c r="C165" s="7">
        <v>4</v>
      </c>
      <c r="D165" s="7">
        <v>4</v>
      </c>
      <c r="E165" s="7">
        <v>0</v>
      </c>
      <c r="F165" s="7">
        <f t="shared" si="19"/>
        <v>0</v>
      </c>
      <c r="G165" s="12">
        <f t="shared" si="20"/>
        <v>1</v>
      </c>
      <c r="H165" s="28">
        <v>0</v>
      </c>
    </row>
    <row r="166" spans="1:12">
      <c r="A166" s="6" t="s">
        <v>101</v>
      </c>
      <c r="B166" s="7">
        <v>14</v>
      </c>
      <c r="C166" s="7">
        <v>2</v>
      </c>
      <c r="D166" s="7">
        <v>2</v>
      </c>
      <c r="E166" s="7">
        <v>0</v>
      </c>
      <c r="F166" s="7">
        <f t="shared" si="19"/>
        <v>0</v>
      </c>
      <c r="G166" s="12">
        <f t="shared" si="20"/>
        <v>1</v>
      </c>
      <c r="H166" s="28">
        <v>0</v>
      </c>
    </row>
    <row r="167" spans="1:12">
      <c r="A167" s="6" t="s">
        <v>102</v>
      </c>
      <c r="B167" s="7">
        <f>B7</f>
        <v>14</v>
      </c>
      <c r="C167" s="7">
        <f>D7</f>
        <v>432</v>
      </c>
      <c r="D167" s="28">
        <f>H7</f>
        <v>431</v>
      </c>
      <c r="E167" s="28">
        <f>I7</f>
        <v>1</v>
      </c>
      <c r="F167" s="7">
        <f t="shared" si="19"/>
        <v>0</v>
      </c>
      <c r="G167" s="12">
        <f t="shared" si="20"/>
        <v>0.99768518518518523</v>
      </c>
      <c r="H167" s="7">
        <f>E7</f>
        <v>52</v>
      </c>
    </row>
    <row r="168" spans="1:12">
      <c r="A168" s="6" t="s">
        <v>103</v>
      </c>
      <c r="B168" s="7">
        <v>14</v>
      </c>
      <c r="C168" s="7">
        <v>83</v>
      </c>
      <c r="D168" s="28">
        <v>82</v>
      </c>
      <c r="E168" s="28">
        <v>1</v>
      </c>
      <c r="F168" s="7">
        <f t="shared" si="19"/>
        <v>0</v>
      </c>
      <c r="G168" s="12">
        <f t="shared" si="20"/>
        <v>0.98795180722891562</v>
      </c>
      <c r="H168" s="7">
        <f>J74</f>
        <v>1</v>
      </c>
    </row>
    <row r="169" spans="1:12">
      <c r="A169" s="6" t="s">
        <v>104</v>
      </c>
      <c r="B169" s="7">
        <v>14</v>
      </c>
      <c r="C169" s="7">
        <v>91</v>
      </c>
      <c r="D169" s="28">
        <v>89</v>
      </c>
      <c r="E169" s="28">
        <v>1</v>
      </c>
      <c r="F169" s="7">
        <f t="shared" si="19"/>
        <v>1</v>
      </c>
      <c r="G169" s="12">
        <f t="shared" si="20"/>
        <v>0.98888888888888893</v>
      </c>
      <c r="H169" s="7">
        <f>J73</f>
        <v>5</v>
      </c>
    </row>
    <row r="170" spans="1:12">
      <c r="A170" s="6" t="s">
        <v>105</v>
      </c>
      <c r="B170" s="7">
        <v>14</v>
      </c>
      <c r="C170" s="7">
        <v>14</v>
      </c>
      <c r="D170" s="28">
        <v>14</v>
      </c>
      <c r="E170" s="28">
        <v>0</v>
      </c>
      <c r="F170" s="7">
        <f t="shared" si="19"/>
        <v>0</v>
      </c>
      <c r="G170" s="12">
        <f t="shared" si="20"/>
        <v>1</v>
      </c>
      <c r="H170" s="7">
        <f>J78</f>
        <v>0</v>
      </c>
    </row>
    <row r="171" spans="1:12">
      <c r="A171" s="6" t="s">
        <v>106</v>
      </c>
      <c r="B171" s="7">
        <v>14</v>
      </c>
      <c r="C171" s="7">
        <v>31</v>
      </c>
      <c r="D171" s="7">
        <v>31</v>
      </c>
      <c r="E171" s="7">
        <v>0</v>
      </c>
      <c r="F171" s="7">
        <f t="shared" si="19"/>
        <v>0</v>
      </c>
      <c r="G171" s="12">
        <f t="shared" si="20"/>
        <v>1</v>
      </c>
      <c r="H171" s="7">
        <f>J77</f>
        <v>0</v>
      </c>
    </row>
    <row r="172" spans="1:12">
      <c r="A172" s="6" t="s">
        <v>107</v>
      </c>
      <c r="C172" s="7">
        <f>SUM(C161:C171)</f>
        <v>1583</v>
      </c>
      <c r="D172" s="7">
        <f>SUM(D161:D171)</f>
        <v>1570</v>
      </c>
      <c r="E172" s="7">
        <f>SUM(E161:E171)</f>
        <v>10</v>
      </c>
      <c r="F172" s="7">
        <f>SUM(F161:F171)</f>
        <v>3</v>
      </c>
      <c r="G172" s="12">
        <f t="shared" si="20"/>
        <v>0.99367088607594933</v>
      </c>
      <c r="H172" s="7">
        <f>SUM(H161:H171)</f>
        <v>146</v>
      </c>
    </row>
    <row r="173" spans="1:12">
      <c r="A173" s="6" t="s">
        <v>552</v>
      </c>
    </row>
    <row r="174" spans="1:12" ht="15.75" customHeight="1">
      <c r="A174" s="5" t="s">
        <v>553</v>
      </c>
    </row>
    <row r="175" spans="1:12" ht="36" customHeight="1">
      <c r="A175" s="11" t="s">
        <v>135</v>
      </c>
      <c r="B175" s="11" t="inlineStr">
        <is>
          <t>WIR (2d)</t>
        </is>
      </c>
      <c r="C175" s="11" t="s">
        <v>208</v>
      </c>
      <c r="D175" s="11" t="inlineStr">
        <is>
          <t>RFI (14d)</t>
        </is>
      </c>
      <c r="E175" s="11" t="inlineStr">
        <is>
          <t>CR (14d)</t>
        </is>
      </c>
      <c r="F175" s="11" t="inlineStr">
        <is>
          <t>IPC (14d)</t>
        </is>
      </c>
      <c r="G175" s="11" t="inlineStr">
        <is>
          <t>Project Baseline &amp; Schedule (14d)</t>
        </is>
      </c>
      <c r="H175" s="11" t="inlineStr">
        <is>
          <t>SHD (14d)</t>
        </is>
      </c>
      <c r="I175" s="11" t="inlineStr">
        <is>
          <t>PQD (14d)</t>
        </is>
      </c>
      <c r="J175" s="11" t="inlineStr">
        <is>
          <t>MAS (14d)</t>
        </is>
      </c>
      <c r="K175" s="11" t="inlineStr">
        <is>
          <t>ITP (14d)</t>
        </is>
      </c>
      <c r="L175" s="11" t="inlineStr">
        <is>
          <t>MET (14d)</t>
        </is>
      </c>
    </row>
    <row r="176" spans="1:12">
      <c r="A176" s="6" t="s">
        <v>80</v>
      </c>
      <c r="B176" s="7">
        <f>$C$161</f>
        <v>620</v>
      </c>
      <c r="C176" s="7">
        <f>$C$162</f>
        <v>183</v>
      </c>
      <c r="D176" s="7">
        <f>$C$163</f>
        <v>109</v>
      </c>
      <c r="E176" s="7">
        <f>$C$164</f>
        <v>14</v>
      </c>
      <c r="F176" s="7">
        <f>$C$165</f>
        <v>4</v>
      </c>
      <c r="G176" s="7">
        <f>$C$166</f>
        <v>2</v>
      </c>
      <c r="H176" s="7">
        <f>$C$167</f>
        <v>432</v>
      </c>
      <c r="I176" s="7">
        <f>$C$168</f>
        <v>83</v>
      </c>
      <c r="J176" s="7">
        <f>$C$169</f>
        <v>91</v>
      </c>
      <c r="K176" s="7">
        <f>$C$170</f>
        <v>14</v>
      </c>
      <c r="L176" s="7">
        <f>$C$171</f>
        <v>31</v>
      </c>
    </row>
    <row r="177" spans="1:12">
      <c r="A177" s="6" t="s">
        <v>113</v>
      </c>
      <c r="B177" s="7">
        <f>$H$161</f>
        <v>69</v>
      </c>
      <c r="C177" s="7">
        <f>$H$162</f>
        <v>10</v>
      </c>
      <c r="D177" s="7">
        <f>$H$163</f>
        <v>9</v>
      </c>
      <c r="E177" s="7">
        <f>$H$164</f>
        <v>0</v>
      </c>
      <c r="F177" s="7">
        <f>$H$165</f>
        <v>0</v>
      </c>
      <c r="G177" s="7">
        <f>$H$166</f>
        <v>0</v>
      </c>
      <c r="H177" s="7">
        <f>$H$167</f>
        <v>52</v>
      </c>
      <c r="I177" s="7">
        <f>$H$168</f>
        <v>1</v>
      </c>
      <c r="J177" s="7">
        <f>$H$169</f>
        <v>5</v>
      </c>
      <c r="K177" s="7">
        <f>$H$170</f>
        <v>0</v>
      </c>
      <c r="L177" s="7">
        <f>$H$171</f>
        <v>0</v>
      </c>
    </row>
    <row r="178" spans="1:12">
      <c r="A178" s="6" t="s">
        <v>550</v>
      </c>
      <c r="B178" s="7">
        <f t="shared" ref="B178:L178" si="21">B176+B177</f>
        <v>689</v>
      </c>
      <c r="C178" s="7">
        <f t="shared" si="21"/>
        <v>193</v>
      </c>
      <c r="D178" s="7">
        <f t="shared" si="21"/>
        <v>118</v>
      </c>
      <c r="E178" s="7">
        <f t="shared" si="21"/>
        <v>14</v>
      </c>
      <c r="F178" s="7">
        <f t="shared" si="21"/>
        <v>4</v>
      </c>
      <c r="G178" s="7">
        <f t="shared" si="21"/>
        <v>2</v>
      </c>
      <c r="H178" s="7">
        <f t="shared" si="21"/>
        <v>484</v>
      </c>
      <c r="I178" s="7">
        <f t="shared" si="21"/>
        <v>84</v>
      </c>
      <c r="J178" s="7">
        <f t="shared" si="21"/>
        <v>96</v>
      </c>
      <c r="K178" s="7">
        <f t="shared" si="21"/>
        <v>14</v>
      </c>
      <c r="L178" s="7">
        <f t="shared" si="21"/>
        <v>31</v>
      </c>
    </row>
    <row r="181" spans="1:12" ht="15.75" customHeight="1">
      <c r="A181" s="5" t="s">
        <v>211</v>
      </c>
    </row>
    <row r="182" spans="1:12">
      <c r="A182" s="11" t="s">
        <v>212</v>
      </c>
      <c r="B182" s="11" t="s">
        <v>213</v>
      </c>
    </row>
    <row r="183" spans="1:12">
      <c r="A183" s="6" t="s">
        <v>214</v>
      </c>
      <c r="B183" s="7" t="str">
        <f>IF(D5=H5+I5+J5,"OK","CHECK")</f>
        <v>OK</v>
      </c>
    </row>
    <row r="184" spans="1:12">
      <c r="A184" s="6" t="s">
        <v>215</v>
      </c>
      <c r="B184" s="7" t="str">
        <f>IF(D6=H6+I6+J6,"OK","CHECK")</f>
        <v>OK</v>
      </c>
    </row>
    <row r="185" spans="1:12">
      <c r="A185" s="6" t="s">
        <v>216</v>
      </c>
      <c r="B185" s="7" t="str">
        <f>IF(D7=H7+I7+J7,"OK","CHECK")</f>
        <v>OK</v>
      </c>
    </row>
    <row r="186" spans="1:12">
      <c r="A186" s="6" t="s">
        <v>217</v>
      </c>
      <c r="B186" s="7" t="str">
        <f>IF(D8=H8+I8+J8,"OK","CHECK")</f>
        <v>OK</v>
      </c>
    </row>
    <row r="187" spans="1:12">
      <c r="A187" s="6" t="s">
        <v>218</v>
      </c>
      <c r="B187" s="7" t="str">
        <f>IF(SUMPRODUCT(--(D9:D13&lt;&gt;H9:H13+I9:I13+J9:J13))=0,"OK","CHECK")</f>
        <v>OK</v>
      </c>
    </row>
    <row r="188" spans="1:12">
      <c r="A188" s="6" t="s">
        <v>219</v>
      </c>
      <c r="B188" s="7" t="str">
        <f>IF(SUMPRODUCT(--(H14:H18&gt;G14:G18))=0,"OK","CHECK")</f>
        <v>OK</v>
      </c>
    </row>
    <row r="189" spans="1:12">
      <c r="A189" s="6" t="s">
        <v>220</v>
      </c>
      <c r="B189" s="7" t="str">
        <f>IF(SUMPRODUCT(--(C5:C18&lt;&gt;D5:D18+E5:E18+F5:F18))=0,"OK","CHECK")</f>
        <v>OK</v>
      </c>
    </row>
    <row r="190" spans="1:12">
      <c r="A190" s="6" t="s">
        <v>221</v>
      </c>
      <c r="B190" s="7" t="str">
        <f>IF(SUM(B110:B115)=G5,"OK","CHECK")</f>
        <v>OK</v>
      </c>
    </row>
    <row r="191" spans="1:12">
      <c r="A191" s="6" t="s">
        <v>222</v>
      </c>
      <c r="B191" s="7" t="str">
        <f>IF(SUM(C110:C115)=G6,"OK","CHECK")</f>
        <v>OK</v>
      </c>
    </row>
    <row r="192" spans="1:12">
      <c r="A192" s="6" t="s">
        <v>223</v>
      </c>
      <c r="B192" s="7" t="str">
        <f>IF(SUM(D110:D115)=G7,"OK","CHECK")</f>
        <v>OK</v>
      </c>
    </row>
    <row r="193" spans="1:6">
      <c r="A193" s="6" t="s">
        <v>224</v>
      </c>
      <c r="B193" s="7" t="str">
        <f>IF(SUM(E110:E115)=G8,"OK","CHECK")</f>
        <v>OK</v>
      </c>
    </row>
    <row r="194" spans="1:6">
      <c r="A194" s="6" t="s">
        <v>225</v>
      </c>
      <c r="B194" s="7" t="str">
        <f>IF(SUMPRODUCT(--(C27:C31&lt;&gt;D27:D31+E27:E31+F27:F31+G27:G31+H27:H31))=0,"OK","CHECK")</f>
        <v>OK</v>
      </c>
    </row>
    <row r="195" spans="1:6">
      <c r="A195" s="6" t="s">
        <v>226</v>
      </c>
      <c r="B195" s="7" t="str">
        <f>IF(MIN(F161:F171)&gt;=0,"OK","CHECK")</f>
        <v>OK</v>
      </c>
    </row>
    <row r="196" spans="1:6">
      <c r="A196" s="6" t="s">
        <v>227</v>
      </c>
      <c r="B196" s="7" t="str">
        <f>IF(AND(C69+D69=K69,C70+D70=K70,C71+D71=K71),"OK","CHECK")</f>
        <v>OK</v>
      </c>
    </row>
    <row r="197" spans="1:6">
      <c r="A197" s="6" t="s">
        <v>228</v>
      </c>
      <c r="B197" s="7" t="str">
        <f>IF(COUNTIF(B183:B196,"CHECK")=0,"ALL OK","CHECK INPUTS")</f>
        <v>ALL OK</v>
      </c>
    </row>
    <row r="199" spans="1:6" ht="15.75" customHeight="1">
      <c r="A199" s="5" t="s">
        <v>554</v>
      </c>
    </row>
    <row r="200" spans="1:6">
      <c r="A200" s="6" t="s">
        <v>555</v>
      </c>
      <c r="B200" s="7">
        <v>75</v>
      </c>
    </row>
    <row r="201" spans="1:6">
      <c r="A201" s="6" t="s">
        <v>556</v>
      </c>
      <c r="B201" s="7">
        <v>90</v>
      </c>
    </row>
    <row r="202" spans="1:6">
      <c r="A202" s="6" t="s">
        <v>557</v>
      </c>
      <c r="B202" s="7">
        <v>2.5</v>
      </c>
    </row>
    <row r="204" spans="1:6" ht="30" customHeight="1">
      <c r="A204" s="11" t="s">
        <v>558</v>
      </c>
      <c r="B204" s="11" t="s">
        <v>559</v>
      </c>
      <c r="C204" s="11" t="s">
        <v>560</v>
      </c>
      <c r="D204" s="11" t="s">
        <v>561</v>
      </c>
      <c r="E204" s="11" t="s">
        <v>562</v>
      </c>
    </row>
    <row r="205" spans="1:6">
      <c r="A205" s="6" t="s">
        <v>563</v>
      </c>
      <c r="B205" s="7">
        <f>B200</f>
        <v>75</v>
      </c>
      <c r="C205" s="7">
        <f>B201-B200</f>
        <v>15</v>
      </c>
      <c r="D205" s="7">
        <f>100-B201</f>
        <v>10</v>
      </c>
      <c r="E205" s="7">
        <f>100</f>
        <v>100</v>
      </c>
    </row>
    <row r="207" spans="1:6" ht="30" customHeight="1">
      <c r="A207" s="11" t="s">
        <v>564</v>
      </c>
      <c r="B207" s="11" t="s">
        <v>565</v>
      </c>
      <c r="C207" s="11" t="s">
        <v>566</v>
      </c>
      <c r="D207" s="11" t="s">
        <v>567</v>
      </c>
      <c r="E207" s="11" t="s">
        <v>568</v>
      </c>
      <c r="F207" s="11" t="s">
        <v>562</v>
      </c>
    </row>
    <row r="208" spans="1:6">
      <c r="A208" s="6" t="s">
        <v>569</v>
      </c>
      <c r="B208" s="12">
        <f t="shared" ref="B208:B224" si="22">E228</f>
        <v>0.89985486211901311</v>
      </c>
      <c r="C208" s="27">
        <f t="shared" ref="C208:C224" si="23">MAX(0,MIN(100-$B$202,B208*100-$B$202/2))</f>
        <v>88.735486211901318</v>
      </c>
      <c r="D208" s="7">
        <f t="shared" ref="D208:D224" si="24">$B$202</f>
        <v>2.5</v>
      </c>
      <c r="E208" s="27">
        <f t="shared" ref="E208:E224" si="25">100-C208-D208</f>
        <v>8.7645137880986823</v>
      </c>
      <c r="F208" s="7">
        <f>100</f>
        <v>100</v>
      </c>
    </row>
    <row r="209" spans="1:6">
      <c r="A209" s="6" t="s">
        <v>570</v>
      </c>
      <c r="B209" s="12">
        <f t="shared" si="22"/>
        <v>0.94818652849740936</v>
      </c>
      <c r="C209" s="27">
        <f t="shared" si="23"/>
        <v>93.568652849740943</v>
      </c>
      <c r="D209" s="7">
        <f t="shared" si="24"/>
        <v>2.5</v>
      </c>
      <c r="E209" s="27">
        <f t="shared" si="25"/>
        <v>3.9313471502590573</v>
      </c>
      <c r="F209" s="7">
        <f>100</f>
        <v>100</v>
      </c>
    </row>
    <row r="210" spans="1:6">
      <c r="A210" s="6" t="s">
        <v>571</v>
      </c>
      <c r="B210" s="12">
        <f t="shared" si="22"/>
        <v>0.8925619834710744</v>
      </c>
      <c r="C210" s="27">
        <f t="shared" si="23"/>
        <v>88.006198347107443</v>
      </c>
      <c r="D210" s="7">
        <f t="shared" si="24"/>
        <v>2.5</v>
      </c>
      <c r="E210" s="27">
        <f t="shared" si="25"/>
        <v>9.4938016528925573</v>
      </c>
      <c r="F210" s="7">
        <f>100</f>
        <v>100</v>
      </c>
    </row>
    <row r="211" spans="1:6">
      <c r="A211" s="6" t="s">
        <v>572</v>
      </c>
      <c r="B211" s="12">
        <f t="shared" si="22"/>
        <v>0.92372881355932202</v>
      </c>
      <c r="C211" s="27">
        <f t="shared" si="23"/>
        <v>91.122881355932208</v>
      </c>
      <c r="D211" s="7">
        <f t="shared" si="24"/>
        <v>2.5</v>
      </c>
      <c r="E211" s="27">
        <f t="shared" si="25"/>
        <v>6.3771186440677923</v>
      </c>
      <c r="F211" s="7">
        <f>100</f>
        <v>100</v>
      </c>
    </row>
    <row r="212" spans="1:6">
      <c r="A212" s="6" t="s">
        <v>573</v>
      </c>
      <c r="B212" s="12">
        <f t="shared" si="22"/>
        <v>0.59740259740259738</v>
      </c>
      <c r="C212" s="27">
        <f t="shared" si="23"/>
        <v>58.490259740259738</v>
      </c>
      <c r="D212" s="7">
        <f t="shared" si="24"/>
        <v>2.5</v>
      </c>
      <c r="E212" s="27">
        <f t="shared" si="25"/>
        <v>39.009740259740262</v>
      </c>
      <c r="F212" s="7">
        <f>100</f>
        <v>100</v>
      </c>
    </row>
    <row r="213" spans="1:6">
      <c r="A213" s="6" t="s">
        <v>574</v>
      </c>
      <c r="B213" s="12">
        <f t="shared" si="22"/>
        <v>0.20588235294117646</v>
      </c>
      <c r="C213" s="27">
        <f t="shared" si="23"/>
        <v>19.338235294117645</v>
      </c>
      <c r="D213" s="7">
        <f t="shared" si="24"/>
        <v>2.5</v>
      </c>
      <c r="E213" s="27">
        <f t="shared" si="25"/>
        <v>78.161764705882348</v>
      </c>
      <c r="F213" s="7">
        <f>100</f>
        <v>100</v>
      </c>
    </row>
    <row r="214" spans="1:6">
      <c r="A214" s="6" t="s">
        <v>575</v>
      </c>
      <c r="B214" s="12">
        <f t="shared" si="22"/>
        <v>0.89985486211901311</v>
      </c>
      <c r="C214" s="27">
        <f t="shared" si="23"/>
        <v>88.735486211901318</v>
      </c>
      <c r="D214" s="7">
        <f t="shared" si="24"/>
        <v>2.5</v>
      </c>
      <c r="E214" s="27">
        <f t="shared" si="25"/>
        <v>8.7645137880986823</v>
      </c>
      <c r="F214" s="7">
        <f>100</f>
        <v>100</v>
      </c>
    </row>
    <row r="215" spans="1:6">
      <c r="A215" s="6" t="s">
        <v>576</v>
      </c>
      <c r="B215" s="12">
        <f t="shared" si="22"/>
        <v>0.94818652849740936</v>
      </c>
      <c r="C215" s="27">
        <f t="shared" si="23"/>
        <v>93.568652849740943</v>
      </c>
      <c r="D215" s="7">
        <f t="shared" si="24"/>
        <v>2.5</v>
      </c>
      <c r="E215" s="27">
        <f t="shared" si="25"/>
        <v>3.9313471502590573</v>
      </c>
      <c r="F215" s="7">
        <f>100</f>
        <v>100</v>
      </c>
    </row>
    <row r="216" spans="1:6">
      <c r="A216" s="6" t="s">
        <v>577</v>
      </c>
      <c r="B216" s="12">
        <f t="shared" si="22"/>
        <v>0.92372881355932202</v>
      </c>
      <c r="C216" s="27">
        <f t="shared" si="23"/>
        <v>91.122881355932208</v>
      </c>
      <c r="D216" s="7">
        <f t="shared" si="24"/>
        <v>2.5</v>
      </c>
      <c r="E216" s="27">
        <f t="shared" si="25"/>
        <v>6.3771186440677923</v>
      </c>
      <c r="F216" s="7">
        <f>100</f>
        <v>100</v>
      </c>
    </row>
    <row r="217" spans="1:6">
      <c r="A217" s="6" t="s">
        <v>578</v>
      </c>
      <c r="B217" s="12">
        <f t="shared" si="22"/>
        <v>1</v>
      </c>
      <c r="C217" s="27">
        <f t="shared" si="23"/>
        <v>97.5</v>
      </c>
      <c r="D217" s="7">
        <f t="shared" si="24"/>
        <v>2.5</v>
      </c>
      <c r="E217" s="27">
        <f t="shared" si="25"/>
        <v>0</v>
      </c>
      <c r="F217" s="7">
        <f>100</f>
        <v>100</v>
      </c>
    </row>
    <row r="218" spans="1:6">
      <c r="A218" s="6" t="s">
        <v>579</v>
      </c>
      <c r="B218" s="12">
        <f t="shared" si="22"/>
        <v>1</v>
      </c>
      <c r="C218" s="27">
        <f t="shared" si="23"/>
        <v>97.5</v>
      </c>
      <c r="D218" s="7">
        <f t="shared" si="24"/>
        <v>2.5</v>
      </c>
      <c r="E218" s="27">
        <f t="shared" si="25"/>
        <v>0</v>
      </c>
      <c r="F218" s="7">
        <f>100</f>
        <v>100</v>
      </c>
    </row>
    <row r="219" spans="1:6">
      <c r="A219" s="6" t="s">
        <v>580</v>
      </c>
      <c r="B219" s="12">
        <f t="shared" si="22"/>
        <v>1</v>
      </c>
      <c r="C219" s="27">
        <f t="shared" si="23"/>
        <v>97.5</v>
      </c>
      <c r="D219" s="7">
        <f t="shared" si="24"/>
        <v>2.5</v>
      </c>
      <c r="E219" s="27">
        <f t="shared" si="25"/>
        <v>0</v>
      </c>
      <c r="F219" s="7">
        <f>100</f>
        <v>100</v>
      </c>
    </row>
    <row r="220" spans="1:6">
      <c r="A220" s="6" t="s">
        <v>581</v>
      </c>
      <c r="B220" s="12">
        <f t="shared" si="22"/>
        <v>0.8925619834710744</v>
      </c>
      <c r="C220" s="27">
        <f t="shared" si="23"/>
        <v>88.006198347107443</v>
      </c>
      <c r="D220" s="7">
        <f t="shared" si="24"/>
        <v>2.5</v>
      </c>
      <c r="E220" s="27">
        <f t="shared" si="25"/>
        <v>9.4938016528925573</v>
      </c>
      <c r="F220" s="7">
        <f>100</f>
        <v>100</v>
      </c>
    </row>
    <row r="221" spans="1:6">
      <c r="A221" s="6" t="s">
        <v>582</v>
      </c>
      <c r="B221" s="12">
        <f t="shared" si="22"/>
        <v>0.98809523809523814</v>
      </c>
      <c r="C221" s="27">
        <f t="shared" si="23"/>
        <v>97.5</v>
      </c>
      <c r="D221" s="7">
        <f t="shared" si="24"/>
        <v>2.5</v>
      </c>
      <c r="E221" s="27">
        <f t="shared" si="25"/>
        <v>0</v>
      </c>
      <c r="F221" s="7">
        <f>100</f>
        <v>100</v>
      </c>
    </row>
    <row r="222" spans="1:6">
      <c r="A222" s="6" t="s">
        <v>583</v>
      </c>
      <c r="B222" s="12">
        <f t="shared" si="22"/>
        <v>0.94791666666666663</v>
      </c>
      <c r="C222" s="27">
        <f t="shared" si="23"/>
        <v>93.541666666666657</v>
      </c>
      <c r="D222" s="7">
        <f t="shared" si="24"/>
        <v>2.5</v>
      </c>
      <c r="E222" s="27">
        <f t="shared" si="25"/>
        <v>3.9583333333333428</v>
      </c>
      <c r="F222" s="7">
        <f>100</f>
        <v>100</v>
      </c>
    </row>
    <row r="223" spans="1:6">
      <c r="A223" s="6" t="s">
        <v>584</v>
      </c>
      <c r="B223" s="12">
        <f t="shared" si="22"/>
        <v>1</v>
      </c>
      <c r="C223" s="27">
        <f t="shared" si="23"/>
        <v>97.5</v>
      </c>
      <c r="D223" s="7">
        <f t="shared" si="24"/>
        <v>2.5</v>
      </c>
      <c r="E223" s="27">
        <f t="shared" si="25"/>
        <v>0</v>
      </c>
      <c r="F223" s="7">
        <f>100</f>
        <v>100</v>
      </c>
    </row>
    <row r="224" spans="1:6">
      <c r="A224" s="6" t="s">
        <v>585</v>
      </c>
      <c r="B224" s="12">
        <f t="shared" si="22"/>
        <v>1</v>
      </c>
      <c r="C224" s="27">
        <f t="shared" si="23"/>
        <v>97.5</v>
      </c>
      <c r="D224" s="7">
        <f t="shared" si="24"/>
        <v>2.5</v>
      </c>
      <c r="E224" s="27">
        <f t="shared" si="25"/>
        <v>0</v>
      </c>
      <c r="F224" s="7">
        <f>100</f>
        <v>100</v>
      </c>
    </row>
    <row r="226" spans="1:5" ht="15.6">
      <c r="A226" s="5" t="s">
        <v>586</v>
      </c>
    </row>
    <row r="227" spans="1:5">
      <c r="A227" s="11" t="s">
        <v>564</v>
      </c>
      <c r="B227" s="11" t="s">
        <v>80</v>
      </c>
      <c r="C227" s="11" t="s">
        <v>113</v>
      </c>
      <c r="D227" s="11" t="s">
        <v>144</v>
      </c>
      <c r="E227" s="11" t="s">
        <v>565</v>
      </c>
    </row>
    <row r="228" spans="1:5">
      <c r="A228" s="6" t="s">
        <v>57</v>
      </c>
      <c r="B228" s="7">
        <f t="shared" ref="B228:C231" si="26">D5</f>
        <v>620</v>
      </c>
      <c r="C228" s="7">
        <f t="shared" si="26"/>
        <v>69</v>
      </c>
      <c r="D228" s="7">
        <f t="shared" ref="D228:D244" si="27">B228+C228</f>
        <v>689</v>
      </c>
      <c r="E228" s="12">
        <f t="shared" ref="E228:E244" si="28">IFERROR(B228/D228,0)</f>
        <v>0.89985486211901311</v>
      </c>
    </row>
    <row r="229" spans="1:5">
      <c r="A229" s="6" t="s">
        <v>58</v>
      </c>
      <c r="B229" s="7">
        <f t="shared" si="26"/>
        <v>183</v>
      </c>
      <c r="C229" s="7">
        <f t="shared" si="26"/>
        <v>10</v>
      </c>
      <c r="D229" s="7">
        <f t="shared" si="27"/>
        <v>193</v>
      </c>
      <c r="E229" s="12">
        <f t="shared" si="28"/>
        <v>0.94818652849740936</v>
      </c>
    </row>
    <row r="230" spans="1:5">
      <c r="A230" s="6" t="s">
        <v>16</v>
      </c>
      <c r="B230" s="7">
        <f t="shared" si="26"/>
        <v>432</v>
      </c>
      <c r="C230" s="7">
        <f t="shared" si="26"/>
        <v>52</v>
      </c>
      <c r="D230" s="7">
        <f t="shared" si="27"/>
        <v>484</v>
      </c>
      <c r="E230" s="12">
        <f t="shared" si="28"/>
        <v>0.8925619834710744</v>
      </c>
    </row>
    <row r="231" spans="1:5">
      <c r="A231" s="6" t="s">
        <v>59</v>
      </c>
      <c r="B231" s="7">
        <f t="shared" si="26"/>
        <v>109</v>
      </c>
      <c r="C231" s="7">
        <f t="shared" si="26"/>
        <v>9</v>
      </c>
      <c r="D231" s="7">
        <f t="shared" si="27"/>
        <v>118</v>
      </c>
      <c r="E231" s="12">
        <f t="shared" si="28"/>
        <v>0.92372881355932202</v>
      </c>
    </row>
    <row r="232" spans="1:5">
      <c r="A232" s="6" t="s">
        <v>587</v>
      </c>
      <c r="B232" s="7">
        <f>D19</f>
        <v>138</v>
      </c>
      <c r="C232" s="7">
        <f>E19</f>
        <v>93</v>
      </c>
      <c r="D232" s="7">
        <f t="shared" si="27"/>
        <v>231</v>
      </c>
      <c r="E232" s="12">
        <f t="shared" si="28"/>
        <v>0.59740259740259738</v>
      </c>
    </row>
    <row r="233" spans="1:5">
      <c r="A233" s="6" t="s">
        <v>588</v>
      </c>
      <c r="B233" s="7">
        <f>D20</f>
        <v>7</v>
      </c>
      <c r="C233" s="7">
        <f>E20</f>
        <v>27</v>
      </c>
      <c r="D233" s="7">
        <f t="shared" si="27"/>
        <v>34</v>
      </c>
      <c r="E233" s="12">
        <f t="shared" si="28"/>
        <v>0.20588235294117646</v>
      </c>
    </row>
    <row r="234" spans="1:5">
      <c r="A234" s="6" t="s">
        <v>57</v>
      </c>
      <c r="B234" s="7">
        <f t="shared" ref="B234:B244" si="29">C161</f>
        <v>620</v>
      </c>
      <c r="C234" s="7">
        <f t="shared" ref="C234:C244" si="30">H161</f>
        <v>69</v>
      </c>
      <c r="D234" s="7">
        <f t="shared" si="27"/>
        <v>689</v>
      </c>
      <c r="E234" s="12">
        <f t="shared" si="28"/>
        <v>0.89985486211901311</v>
      </c>
    </row>
    <row r="235" spans="1:5">
      <c r="A235" s="6" t="s">
        <v>58</v>
      </c>
      <c r="B235" s="7">
        <f t="shared" si="29"/>
        <v>183</v>
      </c>
      <c r="C235" s="7">
        <f t="shared" si="30"/>
        <v>10</v>
      </c>
      <c r="D235" s="7">
        <f t="shared" si="27"/>
        <v>193</v>
      </c>
      <c r="E235" s="12">
        <f t="shared" si="28"/>
        <v>0.94818652849740936</v>
      </c>
    </row>
    <row r="236" spans="1:5">
      <c r="A236" s="6" t="s">
        <v>59</v>
      </c>
      <c r="B236" s="7">
        <f t="shared" si="29"/>
        <v>109</v>
      </c>
      <c r="C236" s="7">
        <f t="shared" si="30"/>
        <v>9</v>
      </c>
      <c r="D236" s="7">
        <f t="shared" si="27"/>
        <v>118</v>
      </c>
      <c r="E236" s="12">
        <f t="shared" si="28"/>
        <v>0.92372881355932202</v>
      </c>
    </row>
    <row r="237" spans="1:5">
      <c r="A237" s="6" t="s">
        <v>99</v>
      </c>
      <c r="B237" s="7">
        <f t="shared" si="29"/>
        <v>14</v>
      </c>
      <c r="C237" s="7">
        <f t="shared" si="30"/>
        <v>0</v>
      </c>
      <c r="D237" s="7">
        <f t="shared" si="27"/>
        <v>14</v>
      </c>
      <c r="E237" s="12">
        <f t="shared" si="28"/>
        <v>1</v>
      </c>
    </row>
    <row r="238" spans="1:5">
      <c r="A238" s="6" t="s">
        <v>100</v>
      </c>
      <c r="B238" s="7">
        <f t="shared" si="29"/>
        <v>4</v>
      </c>
      <c r="C238" s="7">
        <f t="shared" si="30"/>
        <v>0</v>
      </c>
      <c r="D238" s="7">
        <f t="shared" si="27"/>
        <v>4</v>
      </c>
      <c r="E238" s="12">
        <f t="shared" si="28"/>
        <v>1</v>
      </c>
    </row>
    <row r="239" spans="1:5">
      <c r="A239" s="6" t="s">
        <v>101</v>
      </c>
      <c r="B239" s="7">
        <f t="shared" si="29"/>
        <v>2</v>
      </c>
      <c r="C239" s="7">
        <f t="shared" si="30"/>
        <v>0</v>
      </c>
      <c r="D239" s="7">
        <f t="shared" si="27"/>
        <v>2</v>
      </c>
      <c r="E239" s="12">
        <f t="shared" si="28"/>
        <v>1</v>
      </c>
    </row>
    <row r="240" spans="1:5">
      <c r="A240" s="6" t="s">
        <v>102</v>
      </c>
      <c r="B240" s="7">
        <f t="shared" si="29"/>
        <v>432</v>
      </c>
      <c r="C240" s="7">
        <f t="shared" si="30"/>
        <v>52</v>
      </c>
      <c r="D240" s="7">
        <f t="shared" si="27"/>
        <v>484</v>
      </c>
      <c r="E240" s="12">
        <f t="shared" si="28"/>
        <v>0.8925619834710744</v>
      </c>
    </row>
    <row r="241" spans="1:11">
      <c r="A241" s="6" t="s">
        <v>103</v>
      </c>
      <c r="B241" s="7">
        <f t="shared" si="29"/>
        <v>83</v>
      </c>
      <c r="C241" s="7">
        <f t="shared" si="30"/>
        <v>1</v>
      </c>
      <c r="D241" s="7">
        <f t="shared" si="27"/>
        <v>84</v>
      </c>
      <c r="E241" s="12">
        <f t="shared" si="28"/>
        <v>0.98809523809523814</v>
      </c>
    </row>
    <row r="242" spans="1:11">
      <c r="A242" s="6" t="s">
        <v>104</v>
      </c>
      <c r="B242" s="7">
        <f t="shared" si="29"/>
        <v>91</v>
      </c>
      <c r="C242" s="7">
        <f t="shared" si="30"/>
        <v>5</v>
      </c>
      <c r="D242" s="7">
        <f t="shared" si="27"/>
        <v>96</v>
      </c>
      <c r="E242" s="12">
        <f t="shared" si="28"/>
        <v>0.94791666666666663</v>
      </c>
    </row>
    <row r="243" spans="1:11">
      <c r="A243" s="6" t="s">
        <v>105</v>
      </c>
      <c r="B243" s="7">
        <f t="shared" si="29"/>
        <v>14</v>
      </c>
      <c r="C243" s="7">
        <f t="shared" si="30"/>
        <v>0</v>
      </c>
      <c r="D243" s="7">
        <f t="shared" si="27"/>
        <v>14</v>
      </c>
      <c r="E243" s="12">
        <f t="shared" si="28"/>
        <v>1</v>
      </c>
    </row>
    <row r="244" spans="1:11">
      <c r="A244" s="6" t="s">
        <v>106</v>
      </c>
      <c r="B244" s="7">
        <f t="shared" si="29"/>
        <v>31</v>
      </c>
      <c r="C244" s="7">
        <f t="shared" si="30"/>
        <v>0</v>
      </c>
      <c r="D244" s="7">
        <f t="shared" si="27"/>
        <v>31</v>
      </c>
      <c r="E244" s="12">
        <f t="shared" si="28"/>
        <v>1</v>
      </c>
    </row>
    <row r="246" spans="1:11" ht="15.6">
      <c r="A246" s="5" t="s">
        <v>589</v>
      </c>
    </row>
    <row r="247" spans="1:11" ht="24">
      <c r="A247" s="11" t="s">
        <v>590</v>
      </c>
      <c r="B247" s="11" t="s">
        <v>147</v>
      </c>
      <c r="C247" s="11" t="s">
        <v>148</v>
      </c>
      <c r="D247" s="11" t="s">
        <v>149</v>
      </c>
      <c r="E247" s="11" t="s">
        <v>150</v>
      </c>
      <c r="F247" s="11" t="s">
        <v>151</v>
      </c>
      <c r="G247" s="11" t="s">
        <v>152</v>
      </c>
      <c r="H247" s="11" t="s">
        <v>114</v>
      </c>
      <c r="I247" s="11" t="s">
        <v>591</v>
      </c>
      <c r="J247" s="11" t="s">
        <v>592</v>
      </c>
      <c r="K247" s="11" t="s">
        <v>593</v>
      </c>
    </row>
    <row r="248" spans="1:11">
      <c r="A248" s="6" t="str">
        <f t="shared" ref="A248:A261" si="31">A69&amp;"  ("&amp;TEXT(B69,"#,##0")&amp;")"</f>
        <v>WIR — Work Inspection Request  (710)</v>
      </c>
      <c r="B248" s="7">
        <f t="shared" ref="B248:I261" si="32">C69</f>
        <v>53</v>
      </c>
      <c r="C248" s="7">
        <f t="shared" si="32"/>
        <v>567</v>
      </c>
      <c r="D248" s="7">
        <f t="shared" si="32"/>
        <v>2</v>
      </c>
      <c r="E248" s="7">
        <f t="shared" si="32"/>
        <v>0</v>
      </c>
      <c r="F248" s="7">
        <f t="shared" si="32"/>
        <v>3</v>
      </c>
      <c r="G248" s="7">
        <f t="shared" si="32"/>
        <v>53</v>
      </c>
      <c r="H248" s="7">
        <f t="shared" si="32"/>
        <v>21</v>
      </c>
      <c r="I248" s="7">
        <f t="shared" si="32"/>
        <v>11</v>
      </c>
      <c r="J248" s="7">
        <f t="shared" ref="J248:J261" si="33">MAX(0,K248-SUM(B248:I248))</f>
        <v>0</v>
      </c>
      <c r="K248" s="7">
        <f t="shared" ref="K248:K261" si="34">B69</f>
        <v>710</v>
      </c>
    </row>
    <row r="249" spans="1:11">
      <c r="A249" s="6" t="str">
        <f t="shared" si="31"/>
        <v>MIR — Material Inspection Request  (205)</v>
      </c>
      <c r="B249" s="7">
        <f t="shared" si="32"/>
        <v>0</v>
      </c>
      <c r="C249" s="7">
        <f t="shared" si="32"/>
        <v>183</v>
      </c>
      <c r="D249" s="7">
        <f t="shared" si="32"/>
        <v>1</v>
      </c>
      <c r="E249" s="7">
        <f t="shared" si="32"/>
        <v>0</v>
      </c>
      <c r="F249" s="7">
        <f t="shared" si="32"/>
        <v>0</v>
      </c>
      <c r="G249" s="7">
        <f t="shared" si="32"/>
        <v>7</v>
      </c>
      <c r="H249" s="7">
        <f t="shared" si="32"/>
        <v>12</v>
      </c>
      <c r="I249" s="7">
        <f t="shared" si="32"/>
        <v>2</v>
      </c>
      <c r="J249" s="7">
        <f t="shared" si="33"/>
        <v>0</v>
      </c>
      <c r="K249" s="7">
        <f t="shared" si="34"/>
        <v>205</v>
      </c>
    </row>
    <row r="250" spans="1:11">
      <c r="A250" s="6" t="str">
        <f t="shared" si="31"/>
        <v>SHD — Shop Drawings  (524)</v>
      </c>
      <c r="B250" s="7">
        <f t="shared" si="32"/>
        <v>115</v>
      </c>
      <c r="C250" s="7">
        <f t="shared" si="32"/>
        <v>317</v>
      </c>
      <c r="D250" s="7">
        <f t="shared" si="32"/>
        <v>4</v>
      </c>
      <c r="E250" s="7">
        <f t="shared" si="32"/>
        <v>0</v>
      </c>
      <c r="F250" s="7">
        <f t="shared" si="32"/>
        <v>0</v>
      </c>
      <c r="G250" s="7">
        <f t="shared" si="32"/>
        <v>26</v>
      </c>
      <c r="H250" s="7">
        <f t="shared" si="32"/>
        <v>40</v>
      </c>
      <c r="I250" s="7">
        <f t="shared" si="32"/>
        <v>22</v>
      </c>
      <c r="J250" s="7">
        <f t="shared" si="33"/>
        <v>0</v>
      </c>
      <c r="K250" s="7">
        <f t="shared" si="34"/>
        <v>524</v>
      </c>
    </row>
    <row r="251" spans="1:11">
      <c r="A251" s="6" t="str">
        <f t="shared" si="31"/>
        <v>RFI — Request for Information  (137)</v>
      </c>
      <c r="B251" s="7">
        <f t="shared" si="32"/>
        <v>0</v>
      </c>
      <c r="C251" s="7">
        <f t="shared" si="32"/>
        <v>0</v>
      </c>
      <c r="D251" s="7">
        <f t="shared" si="32"/>
        <v>0</v>
      </c>
      <c r="E251" s="7">
        <f t="shared" si="32"/>
        <v>0</v>
      </c>
      <c r="F251" s="7">
        <f t="shared" si="32"/>
        <v>0</v>
      </c>
      <c r="G251" s="7">
        <f t="shared" si="32"/>
        <v>5</v>
      </c>
      <c r="H251" s="7">
        <f t="shared" si="32"/>
        <v>19</v>
      </c>
      <c r="I251" s="7">
        <f t="shared" si="32"/>
        <v>4</v>
      </c>
      <c r="J251" s="7">
        <f t="shared" si="33"/>
        <v>109</v>
      </c>
      <c r="K251" s="7">
        <f t="shared" si="34"/>
        <v>137</v>
      </c>
    </row>
    <row r="252" spans="1:11">
      <c r="A252" s="6" t="str">
        <f t="shared" si="31"/>
        <v>MAS — Material Submittals  (157)</v>
      </c>
      <c r="B252" s="7">
        <f t="shared" si="32"/>
        <v>0</v>
      </c>
      <c r="C252" s="7">
        <f t="shared" si="32"/>
        <v>91</v>
      </c>
      <c r="D252" s="7">
        <f t="shared" si="32"/>
        <v>6</v>
      </c>
      <c r="E252" s="7">
        <f t="shared" si="32"/>
        <v>0</v>
      </c>
      <c r="F252" s="7">
        <f t="shared" si="32"/>
        <v>0</v>
      </c>
      <c r="G252" s="7">
        <f t="shared" si="32"/>
        <v>37</v>
      </c>
      <c r="H252" s="7">
        <f t="shared" si="32"/>
        <v>18</v>
      </c>
      <c r="I252" s="7">
        <f t="shared" si="32"/>
        <v>5</v>
      </c>
      <c r="J252" s="7">
        <f t="shared" si="33"/>
        <v>0</v>
      </c>
      <c r="K252" s="7">
        <f t="shared" si="34"/>
        <v>157</v>
      </c>
    </row>
    <row r="253" spans="1:11">
      <c r="A253" s="6" t="str">
        <f t="shared" si="31"/>
        <v>PQD — Prequalification Documents  (110)</v>
      </c>
      <c r="B253" s="7">
        <f t="shared" si="32"/>
        <v>3</v>
      </c>
      <c r="C253" s="7">
        <f t="shared" si="32"/>
        <v>80</v>
      </c>
      <c r="D253" s="7">
        <f t="shared" si="32"/>
        <v>2</v>
      </c>
      <c r="E253" s="7">
        <f t="shared" si="32"/>
        <v>0</v>
      </c>
      <c r="F253" s="7">
        <f t="shared" si="32"/>
        <v>1</v>
      </c>
      <c r="G253" s="7">
        <f t="shared" si="32"/>
        <v>14</v>
      </c>
      <c r="H253" s="7">
        <f t="shared" si="32"/>
        <v>9</v>
      </c>
      <c r="I253" s="7">
        <f t="shared" si="32"/>
        <v>1</v>
      </c>
      <c r="J253" s="7">
        <f t="shared" si="33"/>
        <v>0</v>
      </c>
      <c r="K253" s="7">
        <f t="shared" si="34"/>
        <v>110</v>
      </c>
    </row>
    <row r="254" spans="1:11">
      <c r="A254" s="6" t="str">
        <f t="shared" si="31"/>
        <v>Test Reports  (149)</v>
      </c>
      <c r="B254" s="7">
        <f t="shared" si="32"/>
        <v>23</v>
      </c>
      <c r="C254" s="7">
        <f t="shared" si="32"/>
        <v>96</v>
      </c>
      <c r="D254" s="7">
        <f t="shared" si="32"/>
        <v>2</v>
      </c>
      <c r="E254" s="7">
        <f t="shared" si="32"/>
        <v>0</v>
      </c>
      <c r="F254" s="7">
        <f t="shared" si="32"/>
        <v>0</v>
      </c>
      <c r="G254" s="7">
        <f t="shared" si="32"/>
        <v>15</v>
      </c>
      <c r="H254" s="7">
        <f t="shared" si="32"/>
        <v>11</v>
      </c>
      <c r="I254" s="7">
        <f t="shared" si="32"/>
        <v>2</v>
      </c>
      <c r="J254" s="7">
        <f t="shared" si="33"/>
        <v>0</v>
      </c>
      <c r="K254" s="7">
        <f t="shared" si="34"/>
        <v>149</v>
      </c>
    </row>
    <row r="255" spans="1:11">
      <c r="A255" s="6" t="str">
        <f t="shared" si="31"/>
        <v>CAL — Calibration Certificates  (86)</v>
      </c>
      <c r="B255" s="7">
        <f t="shared" si="32"/>
        <v>6</v>
      </c>
      <c r="C255" s="7">
        <f t="shared" si="32"/>
        <v>68</v>
      </c>
      <c r="D255" s="7">
        <f t="shared" si="32"/>
        <v>0</v>
      </c>
      <c r="E255" s="7">
        <f t="shared" si="32"/>
        <v>0</v>
      </c>
      <c r="F255" s="7">
        <f t="shared" si="32"/>
        <v>0</v>
      </c>
      <c r="G255" s="7">
        <f t="shared" si="32"/>
        <v>4</v>
      </c>
      <c r="H255" s="7">
        <f t="shared" si="32"/>
        <v>4</v>
      </c>
      <c r="I255" s="7">
        <f t="shared" si="32"/>
        <v>4</v>
      </c>
      <c r="J255" s="7">
        <f t="shared" si="33"/>
        <v>0</v>
      </c>
      <c r="K255" s="7">
        <f t="shared" si="34"/>
        <v>86</v>
      </c>
    </row>
    <row r="256" spans="1:11">
      <c r="A256" s="6" t="str">
        <f t="shared" si="31"/>
        <v>MET — Method Statements  (37)</v>
      </c>
      <c r="B256" s="7">
        <f t="shared" si="32"/>
        <v>0</v>
      </c>
      <c r="C256" s="7">
        <f t="shared" si="32"/>
        <v>31</v>
      </c>
      <c r="D256" s="7">
        <f t="shared" si="32"/>
        <v>1</v>
      </c>
      <c r="E256" s="7">
        <f t="shared" si="32"/>
        <v>0</v>
      </c>
      <c r="F256" s="7">
        <f t="shared" si="32"/>
        <v>0</v>
      </c>
      <c r="G256" s="7">
        <f t="shared" si="32"/>
        <v>3</v>
      </c>
      <c r="H256" s="7">
        <f t="shared" si="32"/>
        <v>2</v>
      </c>
      <c r="I256" s="7">
        <f t="shared" si="32"/>
        <v>0</v>
      </c>
      <c r="J256" s="7">
        <f t="shared" si="33"/>
        <v>0</v>
      </c>
      <c r="K256" s="7">
        <f t="shared" si="34"/>
        <v>37</v>
      </c>
    </row>
    <row r="257" spans="1:11">
      <c r="A257" s="6" t="str">
        <f t="shared" si="31"/>
        <v>ITP — Inspection &amp; Test Plans  (16)</v>
      </c>
      <c r="B257" s="7">
        <f t="shared" si="32"/>
        <v>0</v>
      </c>
      <c r="C257" s="7">
        <f t="shared" si="32"/>
        <v>14</v>
      </c>
      <c r="D257" s="7">
        <f t="shared" si="32"/>
        <v>0</v>
      </c>
      <c r="E257" s="7">
        <f t="shared" si="32"/>
        <v>0</v>
      </c>
      <c r="F257" s="7">
        <f t="shared" si="32"/>
        <v>0</v>
      </c>
      <c r="G257" s="7">
        <f t="shared" si="32"/>
        <v>2</v>
      </c>
      <c r="H257" s="7">
        <f t="shared" si="32"/>
        <v>0</v>
      </c>
      <c r="I257" s="7">
        <f t="shared" si="32"/>
        <v>0</v>
      </c>
      <c r="J257" s="7">
        <f t="shared" si="33"/>
        <v>0</v>
      </c>
      <c r="K257" s="7">
        <f t="shared" si="34"/>
        <v>16</v>
      </c>
    </row>
    <row r="258" spans="1:11">
      <c r="A258" s="6" t="str">
        <f t="shared" si="31"/>
        <v>Plans &amp; Procedures  (29)</v>
      </c>
      <c r="B258" s="7">
        <f t="shared" si="32"/>
        <v>2</v>
      </c>
      <c r="C258" s="7">
        <f t="shared" si="32"/>
        <v>19</v>
      </c>
      <c r="D258" s="7">
        <f t="shared" si="32"/>
        <v>1</v>
      </c>
      <c r="E258" s="7">
        <f t="shared" si="32"/>
        <v>0</v>
      </c>
      <c r="F258" s="7">
        <f t="shared" si="32"/>
        <v>0</v>
      </c>
      <c r="G258" s="7">
        <f t="shared" si="32"/>
        <v>7</v>
      </c>
      <c r="H258" s="7">
        <f t="shared" si="32"/>
        <v>0</v>
      </c>
      <c r="I258" s="7">
        <f t="shared" si="32"/>
        <v>0</v>
      </c>
      <c r="J258" s="7">
        <f t="shared" si="33"/>
        <v>0</v>
      </c>
      <c r="K258" s="7">
        <f t="shared" si="34"/>
        <v>29</v>
      </c>
    </row>
    <row r="259" spans="1:11">
      <c r="A259" s="6" t="str">
        <f t="shared" si="31"/>
        <v>Technical Reports  (32)</v>
      </c>
      <c r="B259" s="7">
        <f t="shared" si="32"/>
        <v>0</v>
      </c>
      <c r="C259" s="7">
        <f t="shared" si="32"/>
        <v>19</v>
      </c>
      <c r="D259" s="7">
        <f t="shared" si="32"/>
        <v>1</v>
      </c>
      <c r="E259" s="7">
        <f t="shared" si="32"/>
        <v>4</v>
      </c>
      <c r="F259" s="7">
        <f t="shared" si="32"/>
        <v>0</v>
      </c>
      <c r="G259" s="7">
        <f t="shared" si="32"/>
        <v>6</v>
      </c>
      <c r="H259" s="7">
        <f t="shared" si="32"/>
        <v>1</v>
      </c>
      <c r="I259" s="7">
        <f t="shared" si="32"/>
        <v>1</v>
      </c>
      <c r="J259" s="7">
        <f t="shared" si="33"/>
        <v>0</v>
      </c>
      <c r="K259" s="7">
        <f t="shared" si="34"/>
        <v>32</v>
      </c>
    </row>
    <row r="260" spans="1:11">
      <c r="A260" s="6" t="str">
        <f t="shared" si="31"/>
        <v>WSN — Work Site Notifications  (9)</v>
      </c>
      <c r="B260" s="7">
        <f t="shared" si="32"/>
        <v>0</v>
      </c>
      <c r="C260" s="7">
        <f t="shared" si="32"/>
        <v>5</v>
      </c>
      <c r="D260" s="7">
        <f t="shared" si="32"/>
        <v>0</v>
      </c>
      <c r="E260" s="7">
        <f t="shared" si="32"/>
        <v>0</v>
      </c>
      <c r="F260" s="7">
        <f t="shared" si="32"/>
        <v>0</v>
      </c>
      <c r="G260" s="7">
        <f t="shared" si="32"/>
        <v>1</v>
      </c>
      <c r="H260" s="7">
        <f t="shared" si="32"/>
        <v>3</v>
      </c>
      <c r="I260" s="7">
        <f t="shared" si="32"/>
        <v>0</v>
      </c>
      <c r="J260" s="7">
        <f t="shared" si="33"/>
        <v>0</v>
      </c>
      <c r="K260" s="7">
        <f t="shared" si="34"/>
        <v>9</v>
      </c>
    </row>
    <row r="261" spans="1:11">
      <c r="A261" s="6" t="str">
        <f t="shared" si="31"/>
        <v>DAR's Submittals  (14)</v>
      </c>
      <c r="B261" s="7">
        <f t="shared" si="32"/>
        <v>0</v>
      </c>
      <c r="C261" s="7">
        <f t="shared" si="32"/>
        <v>4</v>
      </c>
      <c r="D261" s="7">
        <f t="shared" si="32"/>
        <v>0</v>
      </c>
      <c r="E261" s="7">
        <f t="shared" si="32"/>
        <v>8</v>
      </c>
      <c r="F261" s="7">
        <f t="shared" si="32"/>
        <v>0</v>
      </c>
      <c r="G261" s="7">
        <f t="shared" si="32"/>
        <v>0</v>
      </c>
      <c r="H261" s="7">
        <f t="shared" si="32"/>
        <v>0</v>
      </c>
      <c r="I261" s="7">
        <f t="shared" si="32"/>
        <v>2</v>
      </c>
      <c r="J261" s="7">
        <f t="shared" si="33"/>
        <v>0</v>
      </c>
      <c r="K261" s="7">
        <f t="shared" si="34"/>
        <v>14</v>
      </c>
    </row>
    <row r="262" spans="1:11">
      <c r="A262" s="6" t="s">
        <v>594</v>
      </c>
      <c r="B262" s="7">
        <f t="shared" ref="B262:K262" si="35">SUM(B248:B261)</f>
        <v>202</v>
      </c>
      <c r="C262" s="7">
        <f t="shared" si="35"/>
        <v>1494</v>
      </c>
      <c r="D262" s="7">
        <f t="shared" si="35"/>
        <v>20</v>
      </c>
      <c r="E262" s="7">
        <f t="shared" si="35"/>
        <v>12</v>
      </c>
      <c r="F262" s="7">
        <f t="shared" si="35"/>
        <v>4</v>
      </c>
      <c r="G262" s="7">
        <f t="shared" si="35"/>
        <v>180</v>
      </c>
      <c r="H262" s="7">
        <f t="shared" si="35"/>
        <v>140</v>
      </c>
      <c r="I262" s="7">
        <f t="shared" si="35"/>
        <v>54</v>
      </c>
      <c r="J262" s="7">
        <f t="shared" si="35"/>
        <v>109</v>
      </c>
      <c r="K262" s="7">
        <f t="shared" si="35"/>
        <v>2215</v>
      </c>
    </row>
    <row r="263" spans="1:11">
      <c r="A263" s="6" t="s">
        <v>595</v>
      </c>
      <c r="B263" s="6" t="str">
        <f>IF(SUMPRODUCT(--(K248:K261&lt;B248:B261+C248:C261+D248:D261+E248:E261+F248:F261+G248:G261+H248:H261+I248:I261))=0,"OK","CHECK")</f>
        <v>OK</v>
      </c>
    </row>
    <row r="264" spans="1:11">
      <c r="A264" s="6" t="s">
        <v>596</v>
      </c>
    </row>
    <row r="266" spans="1:11" ht="15.6">
      <c r="A266" s="5" t="s">
        <v>597</v>
      </c>
    </row>
    <row r="267" spans="1:11">
      <c r="A267" s="6" t="s">
        <v>598</v>
      </c>
      <c r="B267" s="32">
        <v>46027</v>
      </c>
    </row>
    <row r="268" spans="1:11" ht="24">
      <c r="A268" s="11" t="s">
        <v>599</v>
      </c>
      <c r="B268" s="11" t="s">
        <v>600</v>
      </c>
      <c r="C268" s="11" t="s">
        <v>601</v>
      </c>
      <c r="D268" s="11" t="s">
        <v>602</v>
      </c>
    </row>
    <row r="269" spans="1:11">
      <c r="A269" s="7">
        <v>1</v>
      </c>
      <c r="B269" s="32">
        <f t="shared" ref="B269:B305" si="36">$B$267+7*(A269-1)</f>
        <v>46027</v>
      </c>
      <c r="C269" s="33">
        <v>0.93600000000000005</v>
      </c>
      <c r="D269" s="12">
        <f t="shared" ref="D269:D305" si="37">AVERAGE($C$269:$C$305)</f>
        <v>0.94889189189189194</v>
      </c>
    </row>
    <row r="270" spans="1:11">
      <c r="A270" s="7">
        <v>2</v>
      </c>
      <c r="B270" s="32">
        <f t="shared" si="36"/>
        <v>46034</v>
      </c>
      <c r="C270" s="33">
        <v>0.93799999999999994</v>
      </c>
      <c r="D270" s="12">
        <f t="shared" si="37"/>
        <v>0.94889189189189194</v>
      </c>
    </row>
    <row r="271" spans="1:11">
      <c r="A271" s="7">
        <v>3</v>
      </c>
      <c r="B271" s="32">
        <f t="shared" si="36"/>
        <v>46041</v>
      </c>
      <c r="C271" s="33">
        <v>0.94</v>
      </c>
      <c r="D271" s="12">
        <f t="shared" si="37"/>
        <v>0.94889189189189194</v>
      </c>
    </row>
    <row r="272" spans="1:11">
      <c r="A272" s="7">
        <v>4</v>
      </c>
      <c r="B272" s="32">
        <f t="shared" si="36"/>
        <v>46048</v>
      </c>
      <c r="C272" s="33">
        <v>0.94399999999999995</v>
      </c>
      <c r="D272" s="12">
        <f t="shared" si="37"/>
        <v>0.94889189189189194</v>
      </c>
    </row>
    <row r="273" spans="1:4">
      <c r="A273" s="7">
        <v>5</v>
      </c>
      <c r="B273" s="32">
        <f t="shared" si="36"/>
        <v>46055</v>
      </c>
      <c r="C273" s="33">
        <v>0.93899999999999995</v>
      </c>
      <c r="D273" s="12">
        <f t="shared" si="37"/>
        <v>0.94889189189189194</v>
      </c>
    </row>
    <row r="274" spans="1:4">
      <c r="A274" s="7">
        <v>6</v>
      </c>
      <c r="B274" s="32">
        <f t="shared" si="36"/>
        <v>46062</v>
      </c>
      <c r="C274" s="33">
        <v>0.93500000000000005</v>
      </c>
      <c r="D274" s="12">
        <f t="shared" si="37"/>
        <v>0.94889189189189194</v>
      </c>
    </row>
    <row r="275" spans="1:4">
      <c r="A275" s="7">
        <v>7</v>
      </c>
      <c r="B275" s="32">
        <f t="shared" si="36"/>
        <v>46069</v>
      </c>
      <c r="C275" s="33">
        <v>0.94099999999999995</v>
      </c>
      <c r="D275" s="12">
        <f t="shared" si="37"/>
        <v>0.94889189189189194</v>
      </c>
    </row>
    <row r="276" spans="1:4">
      <c r="A276" s="7">
        <v>8</v>
      </c>
      <c r="B276" s="32">
        <f t="shared" si="36"/>
        <v>46076</v>
      </c>
      <c r="C276" s="33">
        <v>0.94199999999999995</v>
      </c>
      <c r="D276" s="12">
        <f t="shared" si="37"/>
        <v>0.94889189189189194</v>
      </c>
    </row>
    <row r="277" spans="1:4">
      <c r="A277" s="7">
        <v>9</v>
      </c>
      <c r="B277" s="32">
        <f t="shared" si="36"/>
        <v>46083</v>
      </c>
      <c r="C277" s="33">
        <v>0.94599999999999995</v>
      </c>
      <c r="D277" s="12">
        <f t="shared" si="37"/>
        <v>0.94889189189189194</v>
      </c>
    </row>
    <row r="278" spans="1:4">
      <c r="A278" s="7">
        <v>10</v>
      </c>
      <c r="B278" s="32">
        <f t="shared" si="36"/>
        <v>46090</v>
      </c>
      <c r="C278" s="33">
        <v>0.94599999999999995</v>
      </c>
      <c r="D278" s="12">
        <f t="shared" si="37"/>
        <v>0.94889189189189194</v>
      </c>
    </row>
    <row r="279" spans="1:4">
      <c r="A279" s="7">
        <v>11</v>
      </c>
      <c r="B279" s="32">
        <f t="shared" si="36"/>
        <v>46097</v>
      </c>
      <c r="C279" s="33">
        <v>0.94799999999999995</v>
      </c>
      <c r="D279" s="12">
        <f t="shared" si="37"/>
        <v>0.94889189189189194</v>
      </c>
    </row>
    <row r="280" spans="1:4">
      <c r="A280" s="7">
        <v>12</v>
      </c>
      <c r="B280" s="32">
        <f t="shared" si="36"/>
        <v>46104</v>
      </c>
      <c r="C280" s="33">
        <v>0.94899999999999995</v>
      </c>
      <c r="D280" s="12">
        <f t="shared" si="37"/>
        <v>0.94889189189189194</v>
      </c>
    </row>
    <row r="281" spans="1:4">
      <c r="A281" s="7">
        <v>13</v>
      </c>
      <c r="B281" s="32">
        <f t="shared" si="36"/>
        <v>46111</v>
      </c>
      <c r="C281" s="33">
        <v>0.95</v>
      </c>
      <c r="D281" s="12">
        <f t="shared" si="37"/>
        <v>0.94889189189189194</v>
      </c>
    </row>
    <row r="282" spans="1:4">
      <c r="A282" s="7">
        <v>14</v>
      </c>
      <c r="B282" s="32">
        <f t="shared" si="36"/>
        <v>46118</v>
      </c>
      <c r="C282" s="33">
        <v>0.94899999999999995</v>
      </c>
      <c r="D282" s="12">
        <f t="shared" si="37"/>
        <v>0.94889189189189194</v>
      </c>
    </row>
    <row r="283" spans="1:4">
      <c r="A283" s="7">
        <v>15</v>
      </c>
      <c r="B283" s="32">
        <f t="shared" si="36"/>
        <v>46125</v>
      </c>
      <c r="C283" s="33">
        <v>0.94499999999999995</v>
      </c>
      <c r="D283" s="12">
        <f t="shared" si="37"/>
        <v>0.94889189189189194</v>
      </c>
    </row>
    <row r="284" spans="1:4">
      <c r="A284" s="7">
        <v>16</v>
      </c>
      <c r="B284" s="32">
        <f t="shared" si="36"/>
        <v>46132</v>
      </c>
      <c r="C284" s="33">
        <v>0.94699999999999995</v>
      </c>
      <c r="D284" s="12">
        <f t="shared" si="37"/>
        <v>0.94889189189189194</v>
      </c>
    </row>
    <row r="285" spans="1:4">
      <c r="A285" s="7">
        <v>17</v>
      </c>
      <c r="B285" s="32">
        <f t="shared" si="36"/>
        <v>46139</v>
      </c>
      <c r="C285" s="33">
        <v>0.94299999999999995</v>
      </c>
      <c r="D285" s="12">
        <f t="shared" si="37"/>
        <v>0.94889189189189194</v>
      </c>
    </row>
    <row r="286" spans="1:4">
      <c r="A286" s="7">
        <v>18</v>
      </c>
      <c r="B286" s="32">
        <f t="shared" si="36"/>
        <v>46146</v>
      </c>
      <c r="C286" s="33">
        <v>0.94799999999999995</v>
      </c>
      <c r="D286" s="12">
        <f t="shared" si="37"/>
        <v>0.94889189189189194</v>
      </c>
    </row>
    <row r="287" spans="1:4">
      <c r="A287" s="7">
        <v>19</v>
      </c>
      <c r="B287" s="32">
        <f t="shared" si="36"/>
        <v>46153</v>
      </c>
      <c r="C287" s="33">
        <v>0.94799999999999995</v>
      </c>
      <c r="D287" s="12">
        <f t="shared" si="37"/>
        <v>0.94889189189189194</v>
      </c>
    </row>
    <row r="288" spans="1:4">
      <c r="A288" s="7">
        <v>20</v>
      </c>
      <c r="B288" s="32">
        <f t="shared" si="36"/>
        <v>46160</v>
      </c>
      <c r="C288" s="33">
        <v>0.95099999999999996</v>
      </c>
      <c r="D288" s="12">
        <f t="shared" si="37"/>
        <v>0.94889189189189194</v>
      </c>
    </row>
    <row r="289" spans="1:4">
      <c r="A289" s="7">
        <v>21</v>
      </c>
      <c r="B289" s="32">
        <f t="shared" si="36"/>
        <v>46167</v>
      </c>
      <c r="C289" s="33">
        <v>0.95199999999999996</v>
      </c>
      <c r="D289" s="12">
        <f t="shared" si="37"/>
        <v>0.94889189189189194</v>
      </c>
    </row>
    <row r="290" spans="1:4">
      <c r="A290" s="7">
        <v>22</v>
      </c>
      <c r="B290" s="32">
        <f t="shared" si="36"/>
        <v>46174</v>
      </c>
      <c r="C290" s="33">
        <v>0.95299999999999996</v>
      </c>
      <c r="D290" s="12">
        <f t="shared" si="37"/>
        <v>0.94889189189189194</v>
      </c>
    </row>
    <row r="291" spans="1:4">
      <c r="A291" s="7">
        <v>23</v>
      </c>
      <c r="B291" s="32">
        <f t="shared" si="36"/>
        <v>46181</v>
      </c>
      <c r="C291" s="33">
        <v>0.94799999999999995</v>
      </c>
      <c r="D291" s="12">
        <f t="shared" si="37"/>
        <v>0.94889189189189194</v>
      </c>
    </row>
    <row r="292" spans="1:4">
      <c r="A292" s="7">
        <v>24</v>
      </c>
      <c r="B292" s="32">
        <f t="shared" si="36"/>
        <v>46188</v>
      </c>
      <c r="C292" s="33">
        <v>0.94599999999999995</v>
      </c>
      <c r="D292" s="12">
        <f t="shared" si="37"/>
        <v>0.94889189189189194</v>
      </c>
    </row>
    <row r="293" spans="1:4">
      <c r="A293" s="7">
        <v>25</v>
      </c>
      <c r="B293" s="32">
        <f t="shared" si="36"/>
        <v>46195</v>
      </c>
      <c r="C293" s="33">
        <v>0.95399999999999996</v>
      </c>
      <c r="D293" s="12">
        <f t="shared" si="37"/>
        <v>0.94889189189189194</v>
      </c>
    </row>
    <row r="294" spans="1:4">
      <c r="A294" s="7">
        <v>26</v>
      </c>
      <c r="B294" s="32">
        <f t="shared" si="36"/>
        <v>46202</v>
      </c>
      <c r="C294" s="33">
        <v>0.95699999999999996</v>
      </c>
      <c r="D294" s="12">
        <f t="shared" si="37"/>
        <v>0.94889189189189194</v>
      </c>
    </row>
    <row r="295" spans="1:4">
      <c r="A295" s="7">
        <v>27</v>
      </c>
      <c r="B295" s="32">
        <f t="shared" si="36"/>
        <v>46209</v>
      </c>
      <c r="C295" s="33">
        <v>0.95799999999999996</v>
      </c>
      <c r="D295" s="12">
        <f t="shared" si="37"/>
        <v>0.94889189189189194</v>
      </c>
    </row>
    <row r="296" spans="1:4">
      <c r="A296" s="7">
        <v>28</v>
      </c>
      <c r="B296" s="32">
        <f t="shared" si="36"/>
        <v>46216</v>
      </c>
      <c r="C296" s="33">
        <v>0.96</v>
      </c>
      <c r="D296" s="12">
        <f t="shared" si="37"/>
        <v>0.94889189189189194</v>
      </c>
    </row>
    <row r="297" spans="1:4">
      <c r="A297" s="7">
        <v>29</v>
      </c>
      <c r="B297" s="32">
        <f t="shared" si="36"/>
        <v>46223</v>
      </c>
      <c r="C297" s="33">
        <v>0.95699999999999996</v>
      </c>
      <c r="D297" s="12">
        <f t="shared" si="37"/>
        <v>0.94889189189189194</v>
      </c>
    </row>
    <row r="298" spans="1:4">
      <c r="A298" s="7">
        <v>30</v>
      </c>
      <c r="B298" s="32">
        <f t="shared" si="36"/>
        <v>46230</v>
      </c>
      <c r="C298" s="33">
        <v>0.95</v>
      </c>
      <c r="D298" s="12">
        <f t="shared" si="37"/>
        <v>0.94889189189189194</v>
      </c>
    </row>
    <row r="299" spans="1:4">
      <c r="A299" s="7">
        <v>31</v>
      </c>
      <c r="B299" s="32">
        <f t="shared" si="36"/>
        <v>46237</v>
      </c>
      <c r="C299" s="33">
        <v>0.95</v>
      </c>
      <c r="D299" s="12">
        <f t="shared" si="37"/>
        <v>0.94889189189189194</v>
      </c>
    </row>
    <row r="300" spans="1:4">
      <c r="A300" s="7">
        <v>32</v>
      </c>
      <c r="B300" s="32">
        <f t="shared" si="36"/>
        <v>46244</v>
      </c>
      <c r="C300" s="33">
        <v>0.95199999999999996</v>
      </c>
      <c r="D300" s="12">
        <f t="shared" si="37"/>
        <v>0.94889189189189194</v>
      </c>
    </row>
    <row r="301" spans="1:4">
      <c r="A301" s="7">
        <v>33</v>
      </c>
      <c r="B301" s="32">
        <f t="shared" si="36"/>
        <v>46251</v>
      </c>
      <c r="C301" s="33">
        <v>0.96</v>
      </c>
      <c r="D301" s="12">
        <f t="shared" si="37"/>
        <v>0.94889189189189194</v>
      </c>
    </row>
    <row r="302" spans="1:4">
      <c r="A302" s="7">
        <v>34</v>
      </c>
      <c r="B302" s="32">
        <f t="shared" si="36"/>
        <v>46258</v>
      </c>
      <c r="C302" s="33">
        <v>0.95199999999999996</v>
      </c>
      <c r="D302" s="12">
        <f t="shared" si="37"/>
        <v>0.94889189189189194</v>
      </c>
    </row>
    <row r="303" spans="1:4">
      <c r="A303" s="7">
        <v>35</v>
      </c>
      <c r="B303" s="32">
        <f t="shared" si="36"/>
        <v>46265</v>
      </c>
      <c r="C303" s="33">
        <v>0.95799999999999996</v>
      </c>
      <c r="D303" s="12">
        <f t="shared" si="37"/>
        <v>0.94889189189189194</v>
      </c>
    </row>
    <row r="304" spans="1:4">
      <c r="A304" s="7">
        <v>36</v>
      </c>
      <c r="B304" s="32">
        <f t="shared" si="36"/>
        <v>46272</v>
      </c>
      <c r="C304" s="33">
        <v>0.95899999999999996</v>
      </c>
      <c r="D304" s="12">
        <f t="shared" si="37"/>
        <v>0.94889189189189194</v>
      </c>
    </row>
    <row r="305" spans="1:4">
      <c r="A305" s="7">
        <v>37</v>
      </c>
      <c r="B305" s="32">
        <f t="shared" si="36"/>
        <v>46279</v>
      </c>
      <c r="C305" s="33">
        <v>0.95799999999999996</v>
      </c>
      <c r="D305" s="12">
        <f t="shared" si="37"/>
        <v>0.94889189189189194</v>
      </c>
    </row>
    <row r="307" spans="1:4">
      <c r="A307" s="6" t="s">
        <v>602</v>
      </c>
      <c r="C307" s="12">
        <f>AVERAGE(C269:C305)</f>
        <v>0.94889189189189194</v>
      </c>
    </row>
    <row r="308" spans="1:4">
      <c r="A308" s="6" t="s">
        <v>603</v>
      </c>
      <c r="C308" s="12">
        <f>MIN(C269:C305)</f>
        <v>0.93500000000000005</v>
      </c>
    </row>
    <row r="309" spans="1:4">
      <c r="A309" s="6" t="s">
        <v>604</v>
      </c>
      <c r="C309" s="12">
        <f>MAX(C269:C305)</f>
        <v>0.96</v>
      </c>
    </row>
    <row r="310" spans="1:4">
      <c r="A310" s="6" t="s">
        <v>605</v>
      </c>
      <c r="C310" s="12">
        <f>C305</f>
        <v>0.95799999999999996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F547B-5395-49A3-8D17-0839354B60F1}">
  <sheetPr>
    <tabColor rgb="FF2ECC71"/>
    <pageSetUpPr fitToPage="1"/>
  </sheetPr>
  <dimension ref="A1:E132"/>
  <sheetViews>
    <sheetView showGridLines="0" topLeftCell="A8" workbookViewId="0">
      <selection activeCell="A2" sqref="A2:E2"/>
    </sheetView>
  </sheetViews>
  <sheetFormatPr defaultRowHeight="13.8"/>
  <cols>
    <col min="1" max="1" width="72" customWidth="1"/>
    <col min="2" max="2" width="24" customWidth="1"/>
    <col min="3" max="4" width="15" customWidth="1"/>
    <col min="5" max="5" width="30" customWidth="1"/>
  </cols>
  <sheetData>
    <row r="1" spans="1:5" ht="18" customHeight="1">
      <c r="A1" s="4" t="s">
        <v>229</v>
      </c>
    </row>
    <row r="2" spans="1:5" ht="27" customHeight="1">
      <c r="A2" s="91"/>
      <c r="B2" s="39"/>
      <c r="C2" s="39"/>
      <c r="D2" s="39"/>
      <c r="E2" s="39"/>
    </row>
    <row r="4" spans="1:5" ht="15.9" customHeight="1">
      <c r="A4" s="5" t="s">
        <v>230</v>
      </c>
      <c r="B4" s="5" t="s">
        <v>231</v>
      </c>
      <c r="C4" s="5" t="s">
        <v>231</v>
      </c>
      <c r="D4" s="5" t="s">
        <v>231</v>
      </c>
      <c r="E4" s="5" t="s">
        <v>231</v>
      </c>
    </row>
    <row r="5" spans="1:5" ht="24" customHeight="1">
      <c r="A5" s="90" t="s">
        <v>232</v>
      </c>
      <c r="B5" s="39"/>
      <c r="C5" s="39"/>
      <c r="D5" s="39"/>
      <c r="E5" s="39"/>
    </row>
    <row r="6" spans="1:5" ht="24" customHeight="1">
      <c r="A6" s="90" t="s">
        <v>233</v>
      </c>
      <c r="B6" s="39"/>
      <c r="C6" s="39"/>
      <c r="D6" s="39"/>
      <c r="E6" s="39"/>
    </row>
    <row r="7" spans="1:5" ht="24" customHeight="1">
      <c r="A7" s="90" t="s">
        <v>234</v>
      </c>
      <c r="B7" s="39"/>
      <c r="C7" s="39"/>
      <c r="D7" s="39"/>
      <c r="E7" s="39"/>
    </row>
    <row r="8" spans="1:5" ht="24" customHeight="1">
      <c r="A8" s="90" t="s">
        <v>235</v>
      </c>
      <c r="B8" s="39"/>
      <c r="C8" s="39"/>
      <c r="D8" s="39"/>
      <c r="E8" s="39"/>
    </row>
    <row r="10" spans="1:5" ht="15.9" customHeight="1">
      <c r="A10" s="5" t="s">
        <v>236</v>
      </c>
      <c r="B10" s="5" t="s">
        <v>231</v>
      </c>
      <c r="C10" s="5" t="s">
        <v>231</v>
      </c>
      <c r="D10" s="5" t="s">
        <v>231</v>
      </c>
      <c r="E10" s="5" t="s">
        <v>231</v>
      </c>
    </row>
    <row r="11" spans="1:5" ht="24" customHeight="1">
      <c r="A11" s="25" t="s">
        <v>185</v>
      </c>
      <c r="B11" s="25" t="s">
        <v>237</v>
      </c>
      <c r="C11" s="25" t="s">
        <v>238</v>
      </c>
      <c r="D11" s="25" t="s">
        <v>239</v>
      </c>
      <c r="E11" s="25" t="s">
        <v>182</v>
      </c>
    </row>
    <row r="12" spans="1:5">
      <c r="A12" s="26" t="s">
        <v>240</v>
      </c>
      <c r="B12" s="7" t="s">
        <v>241</v>
      </c>
      <c r="C12" s="12" t="e">
        <f>#REF!</f>
        <v>#REF!</v>
      </c>
      <c r="D12" s="12">
        <f>'KPI Engine (Final)'!K5</f>
        <v>0.99516129032258061</v>
      </c>
      <c r="E12" s="7" t="str">
        <f t="shared" ref="E12:E49" si="0">IF(D12="","n/a – no closed items to measure",IF(AND(D12&gt;=0.98,D12&lt;=1),"Yes (98–100%)",IF(IFERROR(ROUND(D12-C12,9)=0,FALSE),"Original kept (SOR / NCR)","NO – outside 98–100%")))</f>
        <v>Yes (98–100%)</v>
      </c>
    </row>
    <row r="13" spans="1:5">
      <c r="A13" s="26" t="s">
        <v>242</v>
      </c>
      <c r="B13" s="7" t="s">
        <v>243</v>
      </c>
      <c r="C13" s="12" t="e">
        <f>#REF!</f>
        <v>#REF!</v>
      </c>
      <c r="D13" s="12">
        <f>'KPI Engine (Final)'!K6</f>
        <v>0.99453551912568305</v>
      </c>
      <c r="E13" s="7" t="str">
        <f t="shared" si="0"/>
        <v>Yes (98–100%)</v>
      </c>
    </row>
    <row r="14" spans="1:5">
      <c r="A14" s="26" t="s">
        <v>244</v>
      </c>
      <c r="B14" s="7" t="s">
        <v>245</v>
      </c>
      <c r="C14" s="12" t="e">
        <f>#REF!</f>
        <v>#REF!</v>
      </c>
      <c r="D14" s="12">
        <f>'KPI Engine (Final)'!K7</f>
        <v>0.99768518518518523</v>
      </c>
      <c r="E14" s="7" t="str">
        <f t="shared" si="0"/>
        <v>Yes (98–100%)</v>
      </c>
    </row>
    <row r="15" spans="1:5">
      <c r="A15" s="26" t="s">
        <v>246</v>
      </c>
      <c r="B15" s="7" t="s">
        <v>247</v>
      </c>
      <c r="C15" s="12" t="e">
        <f>#REF!</f>
        <v>#REF!</v>
      </c>
      <c r="D15" s="12">
        <f>'KPI Engine (Final)'!K8</f>
        <v>0.99065420560747663</v>
      </c>
      <c r="E15" s="7" t="str">
        <f t="shared" si="0"/>
        <v>Yes (98–100%)</v>
      </c>
    </row>
    <row r="16" spans="1:5">
      <c r="A16" s="26" t="s">
        <v>248</v>
      </c>
      <c r="B16" s="7" t="s">
        <v>249</v>
      </c>
      <c r="C16" s="12" t="e">
        <f>#REF!</f>
        <v>#REF!</v>
      </c>
      <c r="D16" s="12">
        <f>'KPI Engine (Final)'!K9</f>
        <v>0</v>
      </c>
      <c r="E16" s="7" t="str">
        <f t="shared" si="0"/>
        <v>NO – outside 98–100%</v>
      </c>
    </row>
    <row r="17" spans="1:5">
      <c r="A17" s="26" t="s">
        <v>250</v>
      </c>
      <c r="B17" s="7" t="s">
        <v>251</v>
      </c>
      <c r="C17" s="12" t="e">
        <f>#REF!</f>
        <v>#REF!</v>
      </c>
      <c r="D17" s="12" t="str">
        <f>'KPI Engine (Final)'!K10</f>
        <v/>
      </c>
      <c r="E17" s="7" t="str">
        <f t="shared" si="0"/>
        <v>n/a – no closed items to measure</v>
      </c>
    </row>
    <row r="18" spans="1:5">
      <c r="A18" s="26" t="s">
        <v>252</v>
      </c>
      <c r="B18" s="7" t="s">
        <v>253</v>
      </c>
      <c r="C18" s="12" t="e">
        <f>#REF!</f>
        <v>#REF!</v>
      </c>
      <c r="D18" s="12" t="str">
        <f>'KPI Engine (Final)'!K11</f>
        <v/>
      </c>
      <c r="E18" s="7" t="str">
        <f t="shared" si="0"/>
        <v>n/a – no closed items to measure</v>
      </c>
    </row>
    <row r="19" spans="1:5">
      <c r="A19" s="26" t="s">
        <v>254</v>
      </c>
      <c r="B19" s="7" t="s">
        <v>255</v>
      </c>
      <c r="C19" s="12" t="e">
        <f>#REF!</f>
        <v>#REF!</v>
      </c>
      <c r="D19" s="12">
        <f>'KPI Engine (Final)'!K12</f>
        <v>0.3125</v>
      </c>
      <c r="E19" s="7" t="str">
        <f t="shared" si="0"/>
        <v>NO – outside 98–100%</v>
      </c>
    </row>
    <row r="20" spans="1:5">
      <c r="A20" s="26" t="s">
        <v>256</v>
      </c>
      <c r="B20" s="7" t="s">
        <v>257</v>
      </c>
      <c r="C20" s="12" t="e">
        <f>#REF!</f>
        <v>#REF!</v>
      </c>
      <c r="D20" s="12">
        <f>'KPI Engine (Final)'!K13</f>
        <v>1</v>
      </c>
      <c r="E20" s="7" t="str">
        <f t="shared" si="0"/>
        <v>Yes (98–100%)</v>
      </c>
    </row>
    <row r="21" spans="1:5">
      <c r="A21" s="26" t="s">
        <v>258</v>
      </c>
      <c r="B21" s="7" t="s">
        <v>259</v>
      </c>
      <c r="C21" s="12" t="e">
        <f>#REF!</f>
        <v>#REF!</v>
      </c>
      <c r="D21" s="12" t="str">
        <f>'KPI Engine (Final)'!K14</f>
        <v/>
      </c>
      <c r="E21" s="7" t="str">
        <f t="shared" si="0"/>
        <v>n/a – no closed items to measure</v>
      </c>
    </row>
    <row r="22" spans="1:5">
      <c r="A22" s="26" t="s">
        <v>260</v>
      </c>
      <c r="B22" s="7" t="s">
        <v>261</v>
      </c>
      <c r="C22" s="12" t="e">
        <f>#REF!</f>
        <v>#REF!</v>
      </c>
      <c r="D22" s="12" t="str">
        <f>'KPI Engine (Final)'!K15</f>
        <v/>
      </c>
      <c r="E22" s="7" t="str">
        <f t="shared" si="0"/>
        <v>n/a – no closed items to measure</v>
      </c>
    </row>
    <row r="23" spans="1:5">
      <c r="A23" s="26" t="s">
        <v>262</v>
      </c>
      <c r="B23" s="7" t="s">
        <v>263</v>
      </c>
      <c r="C23" s="12" t="e">
        <f>#REF!</f>
        <v>#REF!</v>
      </c>
      <c r="D23" s="12">
        <f>'KPI Engine (Final)'!K16</f>
        <v>0</v>
      </c>
      <c r="E23" s="7" t="str">
        <f t="shared" si="0"/>
        <v>NO – outside 98–100%</v>
      </c>
    </row>
    <row r="24" spans="1:5">
      <c r="A24" s="26" t="s">
        <v>264</v>
      </c>
      <c r="B24" s="7" t="s">
        <v>265</v>
      </c>
      <c r="C24" s="12" t="e">
        <f>#REF!</f>
        <v>#REF!</v>
      </c>
      <c r="D24" s="12">
        <f>'KPI Engine (Final)'!K17</f>
        <v>0</v>
      </c>
      <c r="E24" s="7" t="str">
        <f t="shared" si="0"/>
        <v>NO – outside 98–100%</v>
      </c>
    </row>
    <row r="25" spans="1:5">
      <c r="A25" s="26" t="s">
        <v>266</v>
      </c>
      <c r="B25" s="7" t="s">
        <v>267</v>
      </c>
      <c r="C25" s="12" t="e">
        <f>#REF!</f>
        <v>#REF!</v>
      </c>
      <c r="D25" s="12">
        <f>'KPI Engine (Final)'!K18</f>
        <v>0</v>
      </c>
      <c r="E25" s="7" t="str">
        <f t="shared" si="0"/>
        <v>NO – outside 98–100%</v>
      </c>
    </row>
    <row r="26" spans="1:5">
      <c r="A26" s="26" t="s">
        <v>268</v>
      </c>
      <c r="B26" s="7" t="s">
        <v>269</v>
      </c>
      <c r="C26" s="12" t="e">
        <f>#REF!</f>
        <v>#REF!</v>
      </c>
      <c r="D26" s="12">
        <f>'KPI Engine (Final)'!K19</f>
        <v>0.36842105263157893</v>
      </c>
      <c r="E26" s="7" t="str">
        <f t="shared" si="0"/>
        <v>NO – outside 98–100%</v>
      </c>
    </row>
    <row r="27" spans="1:5">
      <c r="A27" s="26" t="s">
        <v>270</v>
      </c>
      <c r="B27" s="7" t="s">
        <v>271</v>
      </c>
      <c r="C27" s="12" t="e">
        <f>#REF!</f>
        <v>#REF!</v>
      </c>
      <c r="D27" s="12">
        <f>'KPI Engine (Final)'!K20</f>
        <v>0</v>
      </c>
      <c r="E27" s="7" t="str">
        <f t="shared" si="0"/>
        <v>NO – outside 98–100%</v>
      </c>
    </row>
    <row r="28" spans="1:5">
      <c r="A28" s="26" t="s">
        <v>272</v>
      </c>
      <c r="B28" s="7" t="s">
        <v>273</v>
      </c>
      <c r="C28" s="12" t="e">
        <f>#REF!</f>
        <v>#REF!</v>
      </c>
      <c r="D28" s="12">
        <f>'KPI Engine (Final)'!K21</f>
        <v>0.99552906110283157</v>
      </c>
      <c r="E28" s="7" t="str">
        <f t="shared" si="0"/>
        <v>Yes (98–100%)</v>
      </c>
    </row>
    <row r="29" spans="1:5">
      <c r="A29" s="26" t="s">
        <v>274</v>
      </c>
      <c r="B29" s="7" t="s">
        <v>275</v>
      </c>
      <c r="C29" s="12" t="e">
        <f>#REF!</f>
        <v>#REF!</v>
      </c>
      <c r="D29" s="12">
        <f>'KPI Engine (Final)'!K22</f>
        <v>0.98172514619883045</v>
      </c>
      <c r="E29" s="7" t="str">
        <f t="shared" si="0"/>
        <v>Yes (98–100%)</v>
      </c>
    </row>
    <row r="30" spans="1:5">
      <c r="A30" s="26" t="s">
        <v>276</v>
      </c>
      <c r="B30" s="7" t="s">
        <v>277</v>
      </c>
      <c r="C30" s="12" t="e">
        <f>#REF!</f>
        <v>#REF!</v>
      </c>
      <c r="D30" s="12">
        <f>'KPI Engine (Final)'!H37</f>
        <v>0</v>
      </c>
      <c r="E30" s="7" t="str">
        <f t="shared" si="0"/>
        <v>NO – outside 98–100%</v>
      </c>
    </row>
    <row r="31" spans="1:5">
      <c r="A31" s="26" t="s">
        <v>278</v>
      </c>
      <c r="B31" s="7" t="s">
        <v>279</v>
      </c>
      <c r="C31" s="12" t="e">
        <f>#REF!</f>
        <v>#REF!</v>
      </c>
      <c r="D31" s="12" t="str">
        <f>'KPI Engine (Final)'!H38</f>
        <v/>
      </c>
      <c r="E31" s="7" t="str">
        <f t="shared" si="0"/>
        <v>n/a – no closed items to measure</v>
      </c>
    </row>
    <row r="32" spans="1:5">
      <c r="A32" s="26" t="s">
        <v>280</v>
      </c>
      <c r="B32" s="7" t="s">
        <v>281</v>
      </c>
      <c r="C32" s="12" t="e">
        <f>#REF!</f>
        <v>#REF!</v>
      </c>
      <c r="D32" s="12" t="str">
        <f>'KPI Engine (Final)'!H39</f>
        <v/>
      </c>
      <c r="E32" s="7" t="str">
        <f t="shared" si="0"/>
        <v>n/a – no closed items to measure</v>
      </c>
    </row>
    <row r="33" spans="1:5">
      <c r="A33" s="26" t="s">
        <v>282</v>
      </c>
      <c r="B33" s="7" t="s">
        <v>283</v>
      </c>
      <c r="C33" s="12" t="e">
        <f>#REF!</f>
        <v>#REF!</v>
      </c>
      <c r="D33" s="12">
        <f>'KPI Engine (Final)'!H40</f>
        <v>0.3125</v>
      </c>
      <c r="E33" s="7" t="str">
        <f t="shared" si="0"/>
        <v>NO – outside 98–100%</v>
      </c>
    </row>
    <row r="34" spans="1:5">
      <c r="A34" s="26" t="s">
        <v>284</v>
      </c>
      <c r="B34" s="7" t="s">
        <v>285</v>
      </c>
      <c r="C34" s="12" t="e">
        <f>#REF!</f>
        <v>#REF!</v>
      </c>
      <c r="D34" s="12">
        <f>'KPI Engine (Final)'!H41</f>
        <v>1</v>
      </c>
      <c r="E34" s="7" t="str">
        <f t="shared" si="0"/>
        <v>Yes (98–100%)</v>
      </c>
    </row>
    <row r="35" spans="1:5">
      <c r="A35" s="26" t="s">
        <v>286</v>
      </c>
      <c r="B35" s="7" t="s">
        <v>287</v>
      </c>
      <c r="C35" s="12" t="e">
        <f>#REF!</f>
        <v>#REF!</v>
      </c>
      <c r="D35" s="12">
        <f>'KPI Engine (Final)'!H42</f>
        <v>0.36842105263157893</v>
      </c>
      <c r="E35" s="7" t="str">
        <f t="shared" si="0"/>
        <v>NO – outside 98–100%</v>
      </c>
    </row>
    <row r="36" spans="1:5">
      <c r="A36" s="26" t="s">
        <v>288</v>
      </c>
      <c r="B36" s="7" t="s">
        <v>289</v>
      </c>
      <c r="C36" s="12" t="e">
        <f>#REF!</f>
        <v>#REF!</v>
      </c>
      <c r="D36" s="12">
        <f>'KPI Engine (Final)'!B147</f>
        <v>0.98172514619883045</v>
      </c>
      <c r="E36" s="7" t="str">
        <f t="shared" si="0"/>
        <v>Yes (98–100%)</v>
      </c>
    </row>
    <row r="37" spans="1:5">
      <c r="A37" s="26" t="s">
        <v>290</v>
      </c>
      <c r="B37" s="7" t="s">
        <v>291</v>
      </c>
      <c r="C37" s="12" t="e">
        <f>#REF!</f>
        <v>#REF!</v>
      </c>
      <c r="D37" s="12">
        <f>'KPI Engine (Final)'!B152</f>
        <v>0.98604651162790702</v>
      </c>
      <c r="E37" s="7" t="str">
        <f t="shared" si="0"/>
        <v>Yes (98–100%)</v>
      </c>
    </row>
    <row r="38" spans="1:5">
      <c r="A38" s="26" t="s">
        <v>292</v>
      </c>
      <c r="B38" s="7" t="s">
        <v>293</v>
      </c>
      <c r="C38" s="12" t="e">
        <f>#REF!</f>
        <v>#REF!</v>
      </c>
      <c r="D38" s="12">
        <f>'KPI Engine (Final)'!G161</f>
        <v>0.99516129032258061</v>
      </c>
      <c r="E38" s="7" t="str">
        <f t="shared" si="0"/>
        <v>Yes (98–100%)</v>
      </c>
    </row>
    <row r="39" spans="1:5">
      <c r="A39" s="26" t="s">
        <v>294</v>
      </c>
      <c r="B39" s="7" t="s">
        <v>295</v>
      </c>
      <c r="C39" s="12" t="e">
        <f>#REF!</f>
        <v>#REF!</v>
      </c>
      <c r="D39" s="12">
        <f>'KPI Engine (Final)'!G162</f>
        <v>0.98360655737704916</v>
      </c>
      <c r="E39" s="7" t="str">
        <f t="shared" si="0"/>
        <v>Yes (98–100%)</v>
      </c>
    </row>
    <row r="40" spans="1:5">
      <c r="A40" s="26" t="s">
        <v>296</v>
      </c>
      <c r="B40" s="7" t="s">
        <v>297</v>
      </c>
      <c r="C40" s="12" t="e">
        <f>#REF!</f>
        <v>#REF!</v>
      </c>
      <c r="D40" s="12">
        <f>'KPI Engine (Final)'!G163</f>
        <v>0.99065420560747663</v>
      </c>
      <c r="E40" s="7" t="str">
        <f t="shared" si="0"/>
        <v>Yes (98–100%)</v>
      </c>
    </row>
    <row r="41" spans="1:5">
      <c r="A41" s="26" t="s">
        <v>298</v>
      </c>
      <c r="B41" s="7" t="s">
        <v>299</v>
      </c>
      <c r="C41" s="12" t="e">
        <f>#REF!</f>
        <v>#REF!</v>
      </c>
      <c r="D41" s="12">
        <f>'KPI Engine (Final)'!G164</f>
        <v>1</v>
      </c>
      <c r="E41" s="7" t="str">
        <f t="shared" si="0"/>
        <v>Yes (98–100%)</v>
      </c>
    </row>
    <row r="42" spans="1:5">
      <c r="A42" s="26" t="s">
        <v>300</v>
      </c>
      <c r="B42" s="7" t="s">
        <v>301</v>
      </c>
      <c r="C42" s="12" t="e">
        <f>#REF!</f>
        <v>#REF!</v>
      </c>
      <c r="D42" s="12">
        <f>'KPI Engine (Final)'!G165</f>
        <v>1</v>
      </c>
      <c r="E42" s="7" t="str">
        <f t="shared" si="0"/>
        <v>Yes (98–100%)</v>
      </c>
    </row>
    <row r="43" spans="1:5">
      <c r="A43" s="26" t="s">
        <v>302</v>
      </c>
      <c r="B43" s="7" t="s">
        <v>303</v>
      </c>
      <c r="C43" s="12" t="e">
        <f>#REF!</f>
        <v>#REF!</v>
      </c>
      <c r="D43" s="12">
        <f>'KPI Engine (Final)'!G166</f>
        <v>1</v>
      </c>
      <c r="E43" s="7" t="str">
        <f t="shared" si="0"/>
        <v>Yes (98–100%)</v>
      </c>
    </row>
    <row r="44" spans="1:5">
      <c r="A44" s="26" t="s">
        <v>304</v>
      </c>
      <c r="B44" s="7" t="s">
        <v>305</v>
      </c>
      <c r="C44" s="12" t="e">
        <f>#REF!</f>
        <v>#REF!</v>
      </c>
      <c r="D44" s="12">
        <f>'KPI Engine (Final)'!G167</f>
        <v>0.99768518518518523</v>
      </c>
      <c r="E44" s="7" t="str">
        <f t="shared" si="0"/>
        <v>Yes (98–100%)</v>
      </c>
    </row>
    <row r="45" spans="1:5">
      <c r="A45" s="26" t="s">
        <v>306</v>
      </c>
      <c r="B45" s="7" t="s">
        <v>307</v>
      </c>
      <c r="C45" s="12" t="e">
        <f>#REF!</f>
        <v>#REF!</v>
      </c>
      <c r="D45" s="12">
        <f>'KPI Engine (Final)'!G168</f>
        <v>0.98795180722891562</v>
      </c>
      <c r="E45" s="7" t="str">
        <f t="shared" si="0"/>
        <v>Yes (98–100%)</v>
      </c>
    </row>
    <row r="46" spans="1:5">
      <c r="A46" s="26" t="s">
        <v>308</v>
      </c>
      <c r="B46" s="7" t="s">
        <v>309</v>
      </c>
      <c r="C46" s="12" t="e">
        <f>#REF!</f>
        <v>#REF!</v>
      </c>
      <c r="D46" s="12">
        <f>'KPI Engine (Final)'!G169</f>
        <v>0.98888888888888893</v>
      </c>
      <c r="E46" s="7" t="str">
        <f t="shared" si="0"/>
        <v>Yes (98–100%)</v>
      </c>
    </row>
    <row r="47" spans="1:5">
      <c r="A47" s="26" t="s">
        <v>310</v>
      </c>
      <c r="B47" s="7" t="s">
        <v>311</v>
      </c>
      <c r="C47" s="12" t="e">
        <f>#REF!</f>
        <v>#REF!</v>
      </c>
      <c r="D47" s="12">
        <f>'KPI Engine (Final)'!G170</f>
        <v>1</v>
      </c>
      <c r="E47" s="7" t="str">
        <f t="shared" si="0"/>
        <v>Yes (98–100%)</v>
      </c>
    </row>
    <row r="48" spans="1:5">
      <c r="A48" s="26" t="s">
        <v>312</v>
      </c>
      <c r="B48" s="7" t="s">
        <v>313</v>
      </c>
      <c r="C48" s="12" t="e">
        <f>#REF!</f>
        <v>#REF!</v>
      </c>
      <c r="D48" s="12">
        <f>'KPI Engine (Final)'!G171</f>
        <v>1</v>
      </c>
      <c r="E48" s="7" t="str">
        <f t="shared" si="0"/>
        <v>Yes (98–100%)</v>
      </c>
    </row>
    <row r="49" spans="1:5">
      <c r="A49" s="26" t="s">
        <v>314</v>
      </c>
      <c r="B49" s="7" t="s">
        <v>315</v>
      </c>
      <c r="C49" s="12" t="e">
        <f>#REF!</f>
        <v>#REF!</v>
      </c>
      <c r="D49" s="12">
        <f>'KPI Engine (Final)'!G172</f>
        <v>0.99367088607594933</v>
      </c>
      <c r="E49" s="7" t="str">
        <f t="shared" si="0"/>
        <v>Yes (98–100%)</v>
      </c>
    </row>
    <row r="50" spans="1:5">
      <c r="A50" s="9" t="s">
        <v>316</v>
      </c>
      <c r="B50" s="9" t="s">
        <v>231</v>
      </c>
      <c r="C50" s="9" t="s">
        <v>231</v>
      </c>
      <c r="D50" s="9" t="s">
        <v>231</v>
      </c>
      <c r="E50" s="9">
        <f>COUNTIF(E12:E49,"NO*")</f>
        <v>10</v>
      </c>
    </row>
    <row r="52" spans="1:5" ht="15.9" customHeight="1">
      <c r="A52" s="5" t="s">
        <v>317</v>
      </c>
      <c r="B52" s="5" t="s">
        <v>231</v>
      </c>
      <c r="C52" s="5" t="s">
        <v>231</v>
      </c>
      <c r="D52" s="5" t="s">
        <v>231</v>
      </c>
      <c r="E52" s="5" t="s">
        <v>231</v>
      </c>
    </row>
    <row r="53" spans="1:5" ht="24" customHeight="1">
      <c r="A53" s="25" t="s">
        <v>318</v>
      </c>
      <c r="B53" s="25" t="s">
        <v>319</v>
      </c>
      <c r="C53" s="25" t="s">
        <v>238</v>
      </c>
      <c r="D53" s="25" t="s">
        <v>239</v>
      </c>
      <c r="E53" s="25" t="s">
        <v>320</v>
      </c>
    </row>
    <row r="54" spans="1:5">
      <c r="A54" s="26" t="s">
        <v>321</v>
      </c>
      <c r="B54" s="7" t="s">
        <v>322</v>
      </c>
      <c r="C54" s="7">
        <v>3</v>
      </c>
      <c r="D54" s="7">
        <v>2</v>
      </c>
      <c r="E54" s="7" t="s">
        <v>323</v>
      </c>
    </row>
    <row r="55" spans="1:5">
      <c r="A55" s="26" t="s">
        <v>324</v>
      </c>
      <c r="B55" s="7" t="s">
        <v>325</v>
      </c>
      <c r="C55" s="7">
        <v>498</v>
      </c>
      <c r="D55" s="7">
        <v>617</v>
      </c>
      <c r="E55" s="7" t="s">
        <v>326</v>
      </c>
    </row>
    <row r="56" spans="1:5">
      <c r="A56" s="26" t="s">
        <v>327</v>
      </c>
      <c r="B56" s="7" t="s">
        <v>328</v>
      </c>
      <c r="C56" s="7">
        <v>122</v>
      </c>
      <c r="D56" s="7">
        <v>3</v>
      </c>
      <c r="E56" s="7" t="s">
        <v>329</v>
      </c>
    </row>
    <row r="57" spans="1:5">
      <c r="A57" s="26" t="s">
        <v>330</v>
      </c>
      <c r="B57" s="7" t="s">
        <v>331</v>
      </c>
      <c r="C57" s="7">
        <v>118</v>
      </c>
      <c r="D57" s="7">
        <v>182</v>
      </c>
      <c r="E57" s="7" t="s">
        <v>332</v>
      </c>
    </row>
    <row r="58" spans="1:5">
      <c r="A58" s="26" t="s">
        <v>333</v>
      </c>
      <c r="B58" s="7" t="s">
        <v>334</v>
      </c>
      <c r="C58" s="7">
        <v>65</v>
      </c>
      <c r="D58" s="7">
        <v>1</v>
      </c>
      <c r="E58" s="7" t="s">
        <v>335</v>
      </c>
    </row>
    <row r="59" spans="1:5">
      <c r="A59" s="26" t="s">
        <v>336</v>
      </c>
      <c r="B59" s="7" t="s">
        <v>337</v>
      </c>
      <c r="C59" s="7">
        <v>416</v>
      </c>
      <c r="D59" s="7">
        <v>431</v>
      </c>
      <c r="E59" s="7" t="s">
        <v>338</v>
      </c>
    </row>
    <row r="60" spans="1:5">
      <c r="A60" s="26" t="s">
        <v>339</v>
      </c>
      <c r="B60" s="7" t="s">
        <v>340</v>
      </c>
      <c r="C60" s="7">
        <v>16</v>
      </c>
      <c r="D60" s="7">
        <v>1</v>
      </c>
      <c r="E60" s="7" t="s">
        <v>341</v>
      </c>
    </row>
    <row r="61" spans="1:5">
      <c r="A61" s="26" t="s">
        <v>342</v>
      </c>
      <c r="B61" s="7" t="s">
        <v>343</v>
      </c>
      <c r="C61" s="7">
        <v>97</v>
      </c>
      <c r="D61" s="7">
        <v>106</v>
      </c>
      <c r="E61" s="7" t="s">
        <v>344</v>
      </c>
    </row>
    <row r="62" spans="1:5">
      <c r="A62" s="26" t="s">
        <v>345</v>
      </c>
      <c r="B62" s="7" t="s">
        <v>346</v>
      </c>
      <c r="C62" s="7">
        <v>10</v>
      </c>
      <c r="D62" s="7">
        <v>1</v>
      </c>
      <c r="E62" s="7" t="s">
        <v>347</v>
      </c>
    </row>
    <row r="63" spans="1:5">
      <c r="A63" s="26" t="s">
        <v>348</v>
      </c>
      <c r="B63" s="7" t="s">
        <v>349</v>
      </c>
      <c r="C63" s="7">
        <v>16</v>
      </c>
      <c r="D63" s="7">
        <v>2</v>
      </c>
      <c r="E63" s="7" t="s">
        <v>350</v>
      </c>
    </row>
    <row r="64" spans="1:5">
      <c r="A64" s="26" t="s">
        <v>351</v>
      </c>
      <c r="B64" s="7" t="s">
        <v>352</v>
      </c>
      <c r="C64" s="7">
        <v>39</v>
      </c>
      <c r="D64" s="7">
        <v>53</v>
      </c>
      <c r="E64" s="7" t="s">
        <v>353</v>
      </c>
    </row>
    <row r="65" spans="1:5">
      <c r="A65" s="26" t="s">
        <v>354</v>
      </c>
      <c r="B65" s="7" t="s">
        <v>355</v>
      </c>
      <c r="C65" s="7">
        <v>7</v>
      </c>
      <c r="D65" s="7">
        <v>1</v>
      </c>
      <c r="E65" s="7" t="s">
        <v>356</v>
      </c>
    </row>
    <row r="66" spans="1:5">
      <c r="A66" s="26" t="s">
        <v>357</v>
      </c>
      <c r="B66" s="7" t="s">
        <v>358</v>
      </c>
      <c r="C66" s="7">
        <v>1</v>
      </c>
      <c r="D66" s="7">
        <v>7</v>
      </c>
      <c r="E66" s="7" t="s">
        <v>359</v>
      </c>
    </row>
    <row r="67" spans="1:5">
      <c r="A67" s="26" t="s">
        <v>360</v>
      </c>
      <c r="B67" s="7" t="s">
        <v>361</v>
      </c>
      <c r="C67" s="7">
        <v>24</v>
      </c>
      <c r="D67" s="7">
        <v>4</v>
      </c>
      <c r="E67" s="7" t="s">
        <v>362</v>
      </c>
    </row>
    <row r="68" spans="1:5">
      <c r="A68" s="26" t="s">
        <v>363</v>
      </c>
      <c r="B68" s="7" t="s">
        <v>364</v>
      </c>
      <c r="C68" s="7">
        <v>6</v>
      </c>
      <c r="D68" s="7">
        <v>26</v>
      </c>
      <c r="E68" s="7" t="s">
        <v>365</v>
      </c>
    </row>
    <row r="69" spans="1:5">
      <c r="A69" s="26" t="s">
        <v>366</v>
      </c>
      <c r="B69" s="7" t="s">
        <v>367</v>
      </c>
      <c r="C69" s="7">
        <v>43</v>
      </c>
      <c r="D69" s="7">
        <v>6</v>
      </c>
      <c r="E69" s="7" t="s">
        <v>368</v>
      </c>
    </row>
    <row r="70" spans="1:5">
      <c r="A70" s="26" t="s">
        <v>369</v>
      </c>
      <c r="B70" s="7" t="s">
        <v>370</v>
      </c>
      <c r="C70" s="7">
        <v>0</v>
      </c>
      <c r="D70" s="7">
        <v>37</v>
      </c>
      <c r="E70" s="7" t="s">
        <v>371</v>
      </c>
    </row>
    <row r="71" spans="1:5">
      <c r="A71" s="26" t="s">
        <v>372</v>
      </c>
      <c r="B71" s="7" t="s">
        <v>373</v>
      </c>
      <c r="C71" s="7">
        <v>16</v>
      </c>
      <c r="D71" s="7">
        <v>2</v>
      </c>
      <c r="E71" s="7" t="s">
        <v>350</v>
      </c>
    </row>
    <row r="72" spans="1:5">
      <c r="A72" s="26" t="s">
        <v>374</v>
      </c>
      <c r="B72" s="7" t="s">
        <v>375</v>
      </c>
      <c r="C72" s="7">
        <v>0</v>
      </c>
      <c r="D72" s="7">
        <v>14</v>
      </c>
      <c r="E72" s="7" t="s">
        <v>353</v>
      </c>
    </row>
    <row r="73" spans="1:5">
      <c r="A73" s="26" t="s">
        <v>376</v>
      </c>
      <c r="B73" s="7" t="s">
        <v>377</v>
      </c>
      <c r="C73" s="7">
        <v>12</v>
      </c>
      <c r="D73" s="7">
        <v>2</v>
      </c>
      <c r="E73" s="7" t="s">
        <v>378</v>
      </c>
    </row>
    <row r="74" spans="1:5">
      <c r="A74" s="26" t="s">
        <v>379</v>
      </c>
      <c r="B74" s="7" t="s">
        <v>380</v>
      </c>
      <c r="C74" s="7">
        <v>5</v>
      </c>
      <c r="D74" s="7">
        <v>15</v>
      </c>
      <c r="E74" s="7" t="s">
        <v>381</v>
      </c>
    </row>
    <row r="75" spans="1:5">
      <c r="A75" s="26" t="s">
        <v>382</v>
      </c>
      <c r="B75" s="7" t="s">
        <v>383</v>
      </c>
      <c r="C75" s="7">
        <v>2</v>
      </c>
      <c r="D75" s="7">
        <v>0</v>
      </c>
      <c r="E75" s="7" t="s">
        <v>384</v>
      </c>
    </row>
    <row r="76" spans="1:5">
      <c r="A76" s="26" t="s">
        <v>385</v>
      </c>
      <c r="B76" s="7" t="s">
        <v>386</v>
      </c>
      <c r="C76" s="7">
        <v>2</v>
      </c>
      <c r="D76" s="7">
        <v>4</v>
      </c>
      <c r="E76" s="7" t="s">
        <v>387</v>
      </c>
    </row>
    <row r="77" spans="1:5">
      <c r="A77" s="26" t="s">
        <v>388</v>
      </c>
      <c r="B77" s="7" t="s">
        <v>389</v>
      </c>
      <c r="C77" s="7">
        <v>3</v>
      </c>
      <c r="D77" s="7">
        <v>1</v>
      </c>
      <c r="E77" s="7" t="s">
        <v>384</v>
      </c>
    </row>
    <row r="78" spans="1:5">
      <c r="A78" s="26" t="s">
        <v>390</v>
      </c>
      <c r="B78" s="7" t="s">
        <v>391</v>
      </c>
      <c r="C78" s="7">
        <v>1</v>
      </c>
      <c r="D78" s="7">
        <v>3</v>
      </c>
      <c r="E78" s="7" t="s">
        <v>387</v>
      </c>
    </row>
    <row r="79" spans="1:5">
      <c r="A79" s="26" t="s">
        <v>392</v>
      </c>
      <c r="B79" s="7" t="s">
        <v>393</v>
      </c>
      <c r="C79" s="7">
        <v>2</v>
      </c>
      <c r="D79" s="7">
        <v>0</v>
      </c>
      <c r="E79" s="7" t="s">
        <v>384</v>
      </c>
    </row>
    <row r="80" spans="1:5">
      <c r="A80" s="26" t="s">
        <v>394</v>
      </c>
      <c r="B80" s="7" t="s">
        <v>395</v>
      </c>
      <c r="C80" s="7">
        <v>0</v>
      </c>
      <c r="D80" s="7">
        <v>2</v>
      </c>
      <c r="E80" s="7" t="s">
        <v>387</v>
      </c>
    </row>
    <row r="81" spans="1:5">
      <c r="A81" s="26" t="s">
        <v>396</v>
      </c>
      <c r="B81" s="7" t="s">
        <v>397</v>
      </c>
      <c r="C81" s="7">
        <v>6</v>
      </c>
      <c r="D81" s="7">
        <v>1</v>
      </c>
      <c r="E81" s="7" t="s">
        <v>398</v>
      </c>
    </row>
    <row r="82" spans="1:5">
      <c r="A82" s="26" t="s">
        <v>399</v>
      </c>
      <c r="B82" s="7" t="s">
        <v>400</v>
      </c>
      <c r="C82" s="7">
        <v>2</v>
      </c>
      <c r="D82" s="7">
        <v>7</v>
      </c>
      <c r="E82" s="7" t="s">
        <v>401</v>
      </c>
    </row>
    <row r="83" spans="1:5">
      <c r="A83" s="26" t="s">
        <v>402</v>
      </c>
      <c r="B83" s="7" t="s">
        <v>403</v>
      </c>
      <c r="C83" s="7">
        <v>5</v>
      </c>
      <c r="D83" s="7">
        <v>1</v>
      </c>
      <c r="E83" s="7" t="s">
        <v>404</v>
      </c>
    </row>
    <row r="84" spans="1:5">
      <c r="A84" s="26" t="s">
        <v>405</v>
      </c>
      <c r="B84" s="7" t="s">
        <v>406</v>
      </c>
      <c r="C84" s="7">
        <v>2</v>
      </c>
      <c r="D84" s="7">
        <v>6</v>
      </c>
      <c r="E84" s="7" t="s">
        <v>407</v>
      </c>
    </row>
    <row r="85" spans="1:5">
      <c r="A85" s="26" t="s">
        <v>408</v>
      </c>
      <c r="B85" s="7" t="s">
        <v>409</v>
      </c>
      <c r="C85" s="7">
        <v>218</v>
      </c>
      <c r="D85" s="7">
        <v>260</v>
      </c>
      <c r="E85" s="7" t="s">
        <v>410</v>
      </c>
    </row>
    <row r="86" spans="1:5">
      <c r="A86" s="26" t="s">
        <v>411</v>
      </c>
      <c r="B86" s="7" t="s">
        <v>412</v>
      </c>
      <c r="C86" s="7">
        <v>53</v>
      </c>
      <c r="D86" s="7">
        <v>90</v>
      </c>
      <c r="E86" s="7" t="s">
        <v>371</v>
      </c>
    </row>
    <row r="87" spans="1:5">
      <c r="A87" s="26" t="s">
        <v>413</v>
      </c>
      <c r="B87" s="7" t="s">
        <v>414</v>
      </c>
      <c r="C87" s="7">
        <v>280</v>
      </c>
      <c r="D87" s="7">
        <v>357</v>
      </c>
      <c r="E87" s="7" t="s">
        <v>415</v>
      </c>
    </row>
    <row r="88" spans="1:5">
      <c r="A88" s="26" t="s">
        <v>416</v>
      </c>
      <c r="B88" s="7" t="s">
        <v>417</v>
      </c>
      <c r="C88" s="7">
        <v>65</v>
      </c>
      <c r="D88" s="7">
        <v>92</v>
      </c>
      <c r="E88" s="7" t="s">
        <v>418</v>
      </c>
    </row>
    <row r="89" spans="1:5">
      <c r="A89" s="26" t="s">
        <v>419</v>
      </c>
      <c r="B89" s="7" t="s">
        <v>420</v>
      </c>
      <c r="C89" s="7">
        <v>116</v>
      </c>
      <c r="D89" s="7">
        <v>3</v>
      </c>
      <c r="E89" s="7" t="s">
        <v>421</v>
      </c>
    </row>
    <row r="90" spans="1:5">
      <c r="A90" s="26" t="s">
        <v>422</v>
      </c>
      <c r="B90" s="7" t="s">
        <v>423</v>
      </c>
      <c r="C90" s="7">
        <v>49</v>
      </c>
      <c r="D90" s="7">
        <v>1</v>
      </c>
      <c r="E90" s="7" t="s">
        <v>424</v>
      </c>
    </row>
    <row r="91" spans="1:5">
      <c r="A91" s="26" t="s">
        <v>425</v>
      </c>
      <c r="B91" s="7" t="s">
        <v>426</v>
      </c>
      <c r="C91" s="7">
        <v>6</v>
      </c>
      <c r="D91" s="7">
        <v>0</v>
      </c>
      <c r="E91" s="7" t="s">
        <v>356</v>
      </c>
    </row>
    <row r="92" spans="1:5">
      <c r="A92" s="26" t="s">
        <v>427</v>
      </c>
      <c r="B92" s="7" t="s">
        <v>428</v>
      </c>
      <c r="C92" s="7">
        <v>16</v>
      </c>
      <c r="D92" s="7">
        <v>0</v>
      </c>
      <c r="E92" s="7" t="s">
        <v>429</v>
      </c>
    </row>
    <row r="93" spans="1:5">
      <c r="A93" s="26" t="s">
        <v>430</v>
      </c>
      <c r="B93" s="7" t="s">
        <v>431</v>
      </c>
      <c r="C93" s="7">
        <v>117</v>
      </c>
      <c r="D93" s="7">
        <v>132</v>
      </c>
      <c r="E93" s="7" t="s">
        <v>338</v>
      </c>
    </row>
    <row r="94" spans="1:5">
      <c r="A94" s="26" t="s">
        <v>432</v>
      </c>
      <c r="B94" s="7" t="s">
        <v>433</v>
      </c>
      <c r="C94" s="7">
        <v>24</v>
      </c>
      <c r="D94" s="7">
        <v>33</v>
      </c>
      <c r="E94" s="7" t="s">
        <v>344</v>
      </c>
    </row>
    <row r="95" spans="1:5">
      <c r="A95" s="26" t="s">
        <v>434</v>
      </c>
      <c r="B95" s="7" t="s">
        <v>435</v>
      </c>
      <c r="C95" s="7">
        <v>16</v>
      </c>
      <c r="D95" s="7">
        <v>1</v>
      </c>
      <c r="E95" s="7" t="s">
        <v>341</v>
      </c>
    </row>
    <row r="96" spans="1:5">
      <c r="A96" s="26" t="s">
        <v>436</v>
      </c>
      <c r="B96" s="7" t="s">
        <v>437</v>
      </c>
      <c r="C96" s="7">
        <v>9</v>
      </c>
      <c r="D96" s="7">
        <v>1</v>
      </c>
      <c r="E96" s="7" t="s">
        <v>438</v>
      </c>
    </row>
    <row r="97" spans="1:5">
      <c r="A97" s="26" t="s">
        <v>439</v>
      </c>
      <c r="B97" s="7" t="s">
        <v>440</v>
      </c>
      <c r="C97" s="7">
        <v>1</v>
      </c>
      <c r="D97" s="7">
        <v>0</v>
      </c>
      <c r="E97" s="7" t="s">
        <v>323</v>
      </c>
    </row>
    <row r="98" spans="1:5">
      <c r="A98" s="26" t="s">
        <v>441</v>
      </c>
      <c r="B98" s="7" t="s">
        <v>442</v>
      </c>
      <c r="C98" s="27">
        <v>2.3532258064516101</v>
      </c>
      <c r="D98" s="27">
        <v>1.6</v>
      </c>
      <c r="E98" s="7" t="s">
        <v>443</v>
      </c>
    </row>
    <row r="99" spans="1:5">
      <c r="A99" s="26" t="s">
        <v>444</v>
      </c>
      <c r="B99" s="7" t="s">
        <v>445</v>
      </c>
      <c r="C99" s="27">
        <v>3.4972677595628401</v>
      </c>
      <c r="D99" s="27">
        <v>1.63</v>
      </c>
      <c r="E99" s="7" t="s">
        <v>446</v>
      </c>
    </row>
    <row r="100" spans="1:5">
      <c r="A100" s="26" t="s">
        <v>447</v>
      </c>
      <c r="B100" s="7" t="s">
        <v>448</v>
      </c>
      <c r="C100" s="27">
        <v>6.3773148148148202</v>
      </c>
      <c r="D100" s="27">
        <v>6.01</v>
      </c>
      <c r="E100" s="7" t="s">
        <v>449</v>
      </c>
    </row>
    <row r="101" spans="1:5">
      <c r="A101" s="26" t="s">
        <v>450</v>
      </c>
      <c r="B101" s="7" t="s">
        <v>451</v>
      </c>
      <c r="C101" s="27">
        <v>6.4392523364486003</v>
      </c>
      <c r="D101" s="27">
        <v>5.38</v>
      </c>
      <c r="E101" s="7" t="s">
        <v>452</v>
      </c>
    </row>
    <row r="102" spans="1:5">
      <c r="A102" s="26" t="s">
        <v>453</v>
      </c>
      <c r="B102" s="7" t="s">
        <v>454</v>
      </c>
      <c r="C102" s="7">
        <v>394</v>
      </c>
      <c r="D102" s="7">
        <v>617</v>
      </c>
      <c r="E102" s="7" t="s">
        <v>455</v>
      </c>
    </row>
    <row r="103" spans="1:5">
      <c r="A103" s="26" t="s">
        <v>456</v>
      </c>
      <c r="B103" s="7" t="s">
        <v>457</v>
      </c>
      <c r="C103" s="7">
        <v>226</v>
      </c>
      <c r="D103" s="7">
        <v>3</v>
      </c>
      <c r="E103" s="7" t="s">
        <v>458</v>
      </c>
    </row>
    <row r="104" spans="1:5">
      <c r="A104" s="26" t="s">
        <v>459</v>
      </c>
      <c r="B104" s="7" t="s">
        <v>460</v>
      </c>
      <c r="C104" s="7">
        <v>80</v>
      </c>
      <c r="D104" s="7">
        <v>180</v>
      </c>
      <c r="E104" s="7" t="s">
        <v>461</v>
      </c>
    </row>
    <row r="105" spans="1:5">
      <c r="A105" s="26" t="s">
        <v>462</v>
      </c>
      <c r="B105" s="7" t="s">
        <v>463</v>
      </c>
      <c r="C105" s="7">
        <v>103</v>
      </c>
      <c r="D105" s="7">
        <v>3</v>
      </c>
      <c r="E105" s="7" t="s">
        <v>464</v>
      </c>
    </row>
    <row r="106" spans="1:5">
      <c r="A106" s="26" t="s">
        <v>465</v>
      </c>
      <c r="B106" s="7" t="s">
        <v>466</v>
      </c>
      <c r="C106" s="7">
        <v>97</v>
      </c>
      <c r="D106" s="7">
        <v>106</v>
      </c>
      <c r="E106" s="7" t="s">
        <v>344</v>
      </c>
    </row>
    <row r="107" spans="1:5">
      <c r="A107" s="26" t="s">
        <v>467</v>
      </c>
      <c r="B107" s="7" t="s">
        <v>468</v>
      </c>
      <c r="C107" s="7">
        <v>10</v>
      </c>
      <c r="D107" s="7">
        <v>1</v>
      </c>
      <c r="E107" s="7" t="s">
        <v>347</v>
      </c>
    </row>
    <row r="108" spans="1:5">
      <c r="A108" s="26" t="s">
        <v>469</v>
      </c>
      <c r="B108" s="7" t="s">
        <v>470</v>
      </c>
      <c r="C108" s="7">
        <v>416</v>
      </c>
      <c r="D108" s="7">
        <v>431</v>
      </c>
      <c r="E108" s="7" t="s">
        <v>338</v>
      </c>
    </row>
    <row r="109" spans="1:5">
      <c r="A109" s="26" t="s">
        <v>471</v>
      </c>
      <c r="B109" s="7" t="s">
        <v>472</v>
      </c>
      <c r="C109" s="7">
        <v>16</v>
      </c>
      <c r="D109" s="7">
        <v>1</v>
      </c>
      <c r="E109" s="7" t="s">
        <v>341</v>
      </c>
    </row>
    <row r="110" spans="1:5">
      <c r="A110" s="26" t="s">
        <v>473</v>
      </c>
      <c r="B110" s="7" t="s">
        <v>474</v>
      </c>
      <c r="C110" s="7">
        <v>75</v>
      </c>
      <c r="D110" s="7">
        <v>82</v>
      </c>
      <c r="E110" s="7" t="s">
        <v>475</v>
      </c>
    </row>
    <row r="111" spans="1:5">
      <c r="A111" s="26" t="s">
        <v>476</v>
      </c>
      <c r="B111" s="7" t="s">
        <v>477</v>
      </c>
      <c r="C111" s="7">
        <v>8</v>
      </c>
      <c r="D111" s="7">
        <v>1</v>
      </c>
      <c r="E111" s="7" t="s">
        <v>478</v>
      </c>
    </row>
    <row r="112" spans="1:5">
      <c r="A112" s="26" t="s">
        <v>479</v>
      </c>
      <c r="B112" s="7" t="s">
        <v>480</v>
      </c>
      <c r="C112" s="7">
        <v>80</v>
      </c>
      <c r="D112" s="7">
        <v>89</v>
      </c>
      <c r="E112" s="7" t="s">
        <v>344</v>
      </c>
    </row>
    <row r="113" spans="1:5">
      <c r="A113" s="26" t="s">
        <v>481</v>
      </c>
      <c r="B113" s="7" t="s">
        <v>482</v>
      </c>
      <c r="C113" s="7">
        <v>10</v>
      </c>
      <c r="D113" s="7">
        <v>1</v>
      </c>
      <c r="E113" s="7" t="s">
        <v>347</v>
      </c>
    </row>
    <row r="114" spans="1:5">
      <c r="A114" s="26" t="s">
        <v>483</v>
      </c>
      <c r="B114" s="7" t="s">
        <v>484</v>
      </c>
      <c r="C114" s="7">
        <v>13</v>
      </c>
      <c r="D114" s="7">
        <v>14</v>
      </c>
      <c r="E114" s="7" t="s">
        <v>485</v>
      </c>
    </row>
    <row r="115" spans="1:5">
      <c r="A115" s="26" t="s">
        <v>486</v>
      </c>
      <c r="B115" s="7" t="s">
        <v>487</v>
      </c>
      <c r="C115" s="7">
        <v>1</v>
      </c>
      <c r="D115" s="7">
        <v>0</v>
      </c>
      <c r="E115" s="7" t="s">
        <v>323</v>
      </c>
    </row>
    <row r="117" spans="1:5" ht="15.9" customHeight="1">
      <c r="A117" s="5" t="s">
        <v>488</v>
      </c>
      <c r="B117" s="5" t="s">
        <v>231</v>
      </c>
      <c r="C117" s="5" t="s">
        <v>231</v>
      </c>
      <c r="D117" s="5" t="s">
        <v>231</v>
      </c>
      <c r="E117" s="5" t="s">
        <v>231</v>
      </c>
    </row>
    <row r="118" spans="1:5" ht="24" customHeight="1">
      <c r="A118" s="25" t="s">
        <v>489</v>
      </c>
      <c r="B118" s="25" t="s">
        <v>490</v>
      </c>
      <c r="C118" s="25" t="s">
        <v>491</v>
      </c>
      <c r="D118" s="25" t="s">
        <v>231</v>
      </c>
      <c r="E118" s="25" t="s">
        <v>231</v>
      </c>
    </row>
    <row r="119" spans="1:5" ht="36" customHeight="1">
      <c r="A119" s="26" t="s">
        <v>492</v>
      </c>
      <c r="B119" s="26" t="s">
        <v>493</v>
      </c>
      <c r="C119" s="90" t="s">
        <v>494</v>
      </c>
      <c r="D119" s="39"/>
      <c r="E119" s="39"/>
    </row>
    <row r="120" spans="1:5" ht="36" customHeight="1">
      <c r="A120" s="26" t="s">
        <v>495</v>
      </c>
      <c r="B120" s="26" t="s">
        <v>496</v>
      </c>
      <c r="C120" s="90" t="s">
        <v>497</v>
      </c>
      <c r="D120" s="39"/>
      <c r="E120" s="39"/>
    </row>
    <row r="121" spans="1:5" ht="36" customHeight="1">
      <c r="A121" s="26" t="s">
        <v>498</v>
      </c>
      <c r="B121" s="26" t="s">
        <v>499</v>
      </c>
      <c r="C121" s="90" t="s">
        <v>500</v>
      </c>
      <c r="D121" s="39"/>
      <c r="E121" s="39"/>
    </row>
    <row r="122" spans="1:5" ht="36" customHeight="1">
      <c r="A122" s="26" t="s">
        <v>501</v>
      </c>
      <c r="B122" s="26" t="s">
        <v>502</v>
      </c>
      <c r="C122" s="90" t="s">
        <v>503</v>
      </c>
      <c r="D122" s="39"/>
      <c r="E122" s="39"/>
    </row>
    <row r="123" spans="1:5" ht="36" customHeight="1">
      <c r="A123" s="26" t="s">
        <v>504</v>
      </c>
      <c r="B123" s="26" t="s">
        <v>505</v>
      </c>
      <c r="C123" s="90" t="s">
        <v>506</v>
      </c>
      <c r="D123" s="39"/>
      <c r="E123" s="39"/>
    </row>
    <row r="124" spans="1:5" ht="36" customHeight="1">
      <c r="A124" s="26" t="s">
        <v>507</v>
      </c>
      <c r="B124" s="26" t="s">
        <v>508</v>
      </c>
      <c r="C124" s="90" t="s">
        <v>509</v>
      </c>
      <c r="D124" s="39"/>
      <c r="E124" s="39"/>
    </row>
    <row r="126" spans="1:5" ht="15.9" customHeight="1">
      <c r="A126" s="5" t="s">
        <v>510</v>
      </c>
      <c r="B126" s="5" t="s">
        <v>231</v>
      </c>
      <c r="C126" s="5" t="s">
        <v>231</v>
      </c>
      <c r="D126" s="5" t="s">
        <v>231</v>
      </c>
      <c r="E126" s="5" t="s">
        <v>231</v>
      </c>
    </row>
    <row r="127" spans="1:5" ht="36" customHeight="1">
      <c r="A127" s="90" t="s">
        <v>511</v>
      </c>
      <c r="B127" s="39"/>
      <c r="C127" s="39"/>
      <c r="D127" s="39"/>
      <c r="E127" s="39"/>
    </row>
    <row r="128" spans="1:5" ht="36" customHeight="1">
      <c r="A128" s="90" t="s">
        <v>512</v>
      </c>
      <c r="B128" s="39"/>
      <c r="C128" s="39"/>
      <c r="D128" s="39"/>
      <c r="E128" s="39"/>
    </row>
    <row r="129" spans="1:5" ht="36" customHeight="1">
      <c r="A129" s="90" t="s">
        <v>513</v>
      </c>
      <c r="B129" s="39"/>
      <c r="C129" s="39"/>
      <c r="D129" s="39"/>
      <c r="E129" s="39"/>
    </row>
    <row r="130" spans="1:5" ht="36" customHeight="1">
      <c r="A130" s="90" t="s">
        <v>514</v>
      </c>
      <c r="B130" s="39"/>
      <c r="C130" s="39"/>
      <c r="D130" s="39"/>
      <c r="E130" s="39"/>
    </row>
    <row r="131" spans="1:5" ht="36" customHeight="1">
      <c r="A131" s="90" t="s">
        <v>515</v>
      </c>
      <c r="B131" s="39"/>
      <c r="C131" s="39"/>
      <c r="D131" s="39"/>
      <c r="E131" s="39"/>
    </row>
    <row r="132" spans="1:5" ht="36" customHeight="1">
      <c r="A132" s="90" t="s">
        <v>516</v>
      </c>
      <c r="B132" s="39"/>
      <c r="C132" s="39"/>
      <c r="D132" s="39"/>
      <c r="E132" s="39"/>
    </row>
  </sheetData>
  <mergeCells count="17">
    <mergeCell ref="A2:E2"/>
    <mergeCell ref="A5:E5"/>
    <mergeCell ref="A6:E6"/>
    <mergeCell ref="A7:E7"/>
    <mergeCell ref="A8:E8"/>
    <mergeCell ref="C119:E119"/>
    <mergeCell ref="C120:E120"/>
    <mergeCell ref="C121:E121"/>
    <mergeCell ref="C122:E122"/>
    <mergeCell ref="C123:E123"/>
    <mergeCell ref="A131:E131"/>
    <mergeCell ref="A132:E132"/>
    <mergeCell ref="C124:E124"/>
    <mergeCell ref="A127:E127"/>
    <mergeCell ref="A128:E128"/>
    <mergeCell ref="A129:E129"/>
    <mergeCell ref="A130:E130"/>
  </mergeCells>
  <pageMargins left="0.7" right="0.7" top="0.75" bottom="0.75" header="0.3" footer="0.3"/>
  <pageSetup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 (Final)</vt:lpstr>
      <vt:lpstr>KPI Engine (Final)</vt:lpstr>
      <vt:lpstr>Change Log (Final)</vt:lpstr>
      <vt:lpstr>'Dashboard (Final)'!Print_Area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Albaba</dc:creator>
  <cp:lastModifiedBy>Anis Sobhi ElHalabi</cp:lastModifiedBy>
  <cp:revision>19</cp:revision>
  <cp:lastPrinted>2026-07-16T07:04:12Z</cp:lastPrinted>
  <dcterms:created xsi:type="dcterms:W3CDTF">2024-07-11T09:56:33Z</dcterms:created>
  <dcterms:modified xsi:type="dcterms:W3CDTF">2026-10-19T12:07:50Z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0x0101007DEC367A91BD2149B0039913A7009089</vt:lpwstr>
  </property>
</Properties>
</file>